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a Sheet" sheetId="1" state="visible" r:id="rId1"/>
    <sheet name="Lookup" sheetId="2" state="visible" r:id="rId2"/>
    <sheet name="ReBorn" sheetId="3" state="visible" r:id="rId3"/>
    <sheet name="Summary" sheetId="4" state="visible" r:id="rId4"/>
    <sheet name="Cleaning Log" sheetId="5" state="visible" r:id="rId5"/>
  </sheets>
  <definedNames>
    <definedName name="_xlnm._FilterDatabase" localSheetId="0" hidden="1">'Data Sheet'!$A$1:$BE$1</definedName>
    <definedName name="_xlnm._FilterDatabase" localSheetId="2" hidden="1">'ReBorn'!$A$1:$E$7</definedName>
  </definedNames>
  <calcPr calcId="999999" fullCalcOnLoad="1"/>
</workbook>
</file>

<file path=xl/styles.xml><?xml version="1.0" encoding="utf-8"?>
<styleSheet xmlns="http://schemas.openxmlformats.org/spreadsheetml/2006/main">
  <numFmts count="3">
    <numFmt numFmtId="164" formatCode="_-&quot;£&quot;* #,##0.00_-;\-&quot;£&quot;* #,##0.00_-;_-&quot;£&quot;* &quot;-&quot;??_-;_-@_-"/>
    <numFmt numFmtId="165" formatCode="&quot;£&quot;#,##0.00"/>
    <numFmt numFmtId="166" formatCode="0.0%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Tahoma"/>
      <family val="2"/>
      <sz val="8"/>
    </font>
    <font>
      <name val="Aptos Narrow"/>
      <family val="2"/>
      <i val="1"/>
      <color theme="1"/>
      <sz val="11"/>
      <scheme val="minor"/>
    </font>
    <font>
      <b val="1"/>
      <i val="1"/>
    </font>
    <font>
      <b val="1"/>
    </font>
    <font>
      <i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6">
    <xf numFmtId="0" fontId="1" fillId="0" borderId="0"/>
    <xf numFmtId="44" fontId="1" fillId="0" borderId="0"/>
    <xf numFmtId="0" fontId="5" fillId="0" borderId="0"/>
    <xf numFmtId="44" fontId="5" fillId="0" borderId="0"/>
    <xf numFmtId="43" fontId="5" fillId="0" borderId="0"/>
    <xf numFmtId="9" fontId="5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4" fontId="5" fillId="2" borderId="0" applyAlignment="1" pivotButton="0" quotePrefix="0" xfId="1">
      <alignment wrapText="1"/>
    </xf>
    <xf numFmtId="2" fontId="0" fillId="2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4" fontId="0" fillId="3" borderId="0" pivotButton="0" quotePrefix="0" xfId="1"/>
    <xf numFmtId="164" fontId="0" fillId="0" borderId="0" pivotButton="0" quotePrefix="0" xfId="1"/>
    <xf numFmtId="2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0" applyAlignment="1" pivotButton="0" quotePrefix="0" xfId="2">
      <alignment horizontal="left"/>
    </xf>
    <xf numFmtId="165" fontId="5" fillId="3" borderId="0" applyAlignment="1" pivotButton="0" quotePrefix="0" xfId="2">
      <alignment horizontal="left"/>
    </xf>
    <xf numFmtId="0" fontId="5" fillId="0" borderId="0" applyAlignment="1" pivotButton="0" quotePrefix="0" xfId="2">
      <alignment horizontal="left"/>
    </xf>
    <xf numFmtId="165" fontId="5" fillId="0" borderId="0" applyAlignment="1" pivotButton="0" quotePrefix="0" xfId="2">
      <alignment horizontal="left"/>
    </xf>
    <xf numFmtId="165" fontId="0" fillId="0" borderId="0" applyAlignment="1" pivotButton="0" quotePrefix="0" xfId="3">
      <alignment horizontal="left"/>
    </xf>
    <xf numFmtId="166" fontId="0" fillId="0" borderId="0" pivotButton="0" quotePrefix="0" xfId="4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horizontal="right"/>
    </xf>
    <xf numFmtId="164" fontId="5" fillId="2" borderId="0" applyAlignment="1" pivotButton="0" quotePrefix="0" xfId="1">
      <alignment wrapText="1"/>
    </xf>
    <xf numFmtId="0" fontId="10" fillId="0" borderId="0" pivotButton="0" quotePrefix="0" xfId="0"/>
    <xf numFmtId="164" fontId="0" fillId="3" borderId="0" pivotButton="0" quotePrefix="0" xfId="1"/>
    <xf numFmtId="164" fontId="0" fillId="0" borderId="0" pivotButton="0" quotePrefix="0" xfId="1"/>
    <xf numFmtId="166" fontId="0" fillId="0" borderId="0" pivotButton="0" quotePrefix="0" xfId="4"/>
    <xf numFmtId="0" fontId="0" fillId="5" borderId="0" pivotButton="0" quotePrefix="0" xfId="0"/>
    <xf numFmtId="0" fontId="2" fillId="5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urrency" xfId="1" builtinId="4"/>
    <cellStyle name="Normal 2" xfId="2"/>
    <cellStyle name="Currency 2" xfId="3"/>
    <cellStyle name="Comma 2" xfId="4"/>
    <cellStyle name="Per cent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Data Administrator Task</author>
  </authors>
  <commentList>
    <comment ref="H3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5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6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7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8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9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0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1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2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3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4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5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6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7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8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19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0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1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2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3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4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5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6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7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8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29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0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1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2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3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4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5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6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7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8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39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0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1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2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3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4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5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6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7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8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49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50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51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  <comment ref="H52" authorId="0" shapeId="0">
      <text>
        <t>No Range/Collection field exists anywhere in the source data (SKU, description, or reference sheet), so it can't be derived with a formula. Flagged for the merchandising/buying team to confirm.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2"/>
  <sheetViews>
    <sheetView tabSelected="1" zoomScale="50" zoomScaleNormal="50" workbookViewId="0">
      <selection activeCell="G19" sqref="G19"/>
    </sheetView>
  </sheetViews>
  <sheetFormatPr baseColWidth="8" defaultRowHeight="15"/>
  <cols>
    <col width="20" bestFit="1" customWidth="1" min="1" max="1"/>
    <col width="12" bestFit="1" customWidth="1" min="2" max="2"/>
    <col width="12" bestFit="1" customWidth="1" min="3" max="3"/>
    <col width="16" bestFit="1" customWidth="1" min="4" max="4"/>
    <col width="18" bestFit="1" customWidth="1" min="5" max="5"/>
    <col width="10" bestFit="1" customWidth="1" min="6" max="6"/>
    <col width="24" bestFit="1" customWidth="1" min="7" max="7"/>
    <col width="10" bestFit="1" customWidth="1" min="8" max="8"/>
    <col width="16" bestFit="1" customWidth="1" min="9" max="9"/>
    <col width="10" bestFit="1" customWidth="1" min="10" max="10"/>
    <col width="44" bestFit="1" customWidth="1" min="11" max="11"/>
    <col width="10" customWidth="1" min="12" max="12"/>
    <col width="12" customWidth="1" min="13" max="13"/>
    <col width="12" customWidth="1" min="14" max="14"/>
    <col width="8" customWidth="1" min="15" max="15"/>
    <col width="10" customWidth="1" min="16" max="16"/>
    <col width="10" customWidth="1" min="17" max="17"/>
    <col width="50" customWidth="1" min="18" max="18"/>
  </cols>
  <sheetData>
    <row r="1" ht="36" customFormat="1" customHeight="1" s="5">
      <c r="A1" s="3" t="inlineStr">
        <is>
          <t>Sku</t>
        </is>
      </c>
      <c r="B1" s="4" t="inlineStr">
        <is>
          <t>Style Code</t>
        </is>
      </c>
      <c r="C1" s="3" t="inlineStr">
        <is>
          <t>Colour Code</t>
        </is>
      </c>
      <c r="D1" s="3" t="inlineStr">
        <is>
          <t>Option</t>
        </is>
      </c>
      <c r="E1" s="5" t="inlineStr">
        <is>
          <t>Category</t>
        </is>
      </c>
      <c r="F1" s="6" t="inlineStr">
        <is>
          <t>Material</t>
        </is>
      </c>
      <c r="G1" s="5" t="inlineStr">
        <is>
          <t>Style</t>
        </is>
      </c>
      <c r="H1" s="5" t="inlineStr">
        <is>
          <t>Range</t>
        </is>
      </c>
      <c r="I1" s="7" t="inlineStr">
        <is>
          <t>Colour</t>
        </is>
      </c>
      <c r="J1" s="8" t="inlineStr">
        <is>
          <t>Size</t>
        </is>
      </c>
      <c r="K1" s="5" t="inlineStr">
        <is>
          <t>Description</t>
        </is>
      </c>
      <c r="L1" s="5" t="inlineStr">
        <is>
          <t>Quantity Avilable</t>
        </is>
      </c>
      <c r="M1" s="30" t="inlineStr">
        <is>
          <t>Landed Cost Price</t>
        </is>
      </c>
      <c r="N1" s="30" t="inlineStr">
        <is>
          <t>Agreed GBP RRP</t>
        </is>
      </c>
      <c r="O1" s="10" t="inlineStr">
        <is>
          <t>Vat</t>
        </is>
      </c>
      <c r="P1" s="30" t="inlineStr">
        <is>
          <t>Net RRP</t>
        </is>
      </c>
      <c r="Q1" s="6" t="inlineStr">
        <is>
          <t>Margin</t>
        </is>
      </c>
      <c r="R1" s="31" t="inlineStr">
        <is>
          <t>Original Description (raw, unedited - for reference)</t>
        </is>
      </c>
    </row>
    <row r="2">
      <c r="A2" t="inlineStr">
        <is>
          <t>900000ZZAUBE0000</t>
        </is>
      </c>
      <c r="B2" s="11" t="n">
        <v>900000</v>
      </c>
      <c r="C2" t="inlineStr">
        <is>
          <t>AUBE</t>
        </is>
      </c>
      <c r="D2" t="inlineStr">
        <is>
          <t>900196AUBE</t>
        </is>
      </c>
      <c r="E2" t="inlineStr">
        <is>
          <t>Fingerless Gloves</t>
        </is>
      </c>
      <c r="F2" t="inlineStr">
        <is>
          <t>Cashmere</t>
        </is>
      </c>
      <c r="G2" t="inlineStr">
        <is>
          <t>Cashmere Fingerless Gloves</t>
        </is>
      </c>
      <c r="H2" s="12" t="inlineStr">
        <is>
          <t>Core</t>
        </is>
      </c>
      <c r="I2" s="13" t="inlineStr">
        <is>
          <t>Aubergine</t>
        </is>
      </c>
      <c r="J2" s="18" t="inlineStr">
        <is>
          <t>One Size</t>
        </is>
      </c>
      <c r="K2" s="14" t="inlineStr">
        <is>
          <t>Cashmere Fingerless Gloves Aubergine</t>
        </is>
      </c>
      <c r="L2" s="14" t="n">
        <v>0</v>
      </c>
      <c r="M2" s="32" t="n">
        <v>6.95</v>
      </c>
      <c r="N2" s="32" t="n">
        <v>39</v>
      </c>
      <c r="O2" s="17" t="n">
        <v>1.2</v>
      </c>
      <c r="P2" s="33">
        <f>SUM(N2/O2)</f>
        <v/>
      </c>
      <c r="Q2" s="34">
        <f>((N2/O2)-M2)/(N2/O2)</f>
        <v/>
      </c>
      <c r="R2" t="inlineStr">
        <is>
          <t>Cashmere Fingerless Gloves Aubergine</t>
        </is>
      </c>
      <c r="Y2" s="19" t="n"/>
      <c r="Z2" s="19" t="n"/>
    </row>
    <row r="3">
      <c r="A3" t="inlineStr">
        <is>
          <t>900236ZZBLCK0000</t>
        </is>
      </c>
      <c r="B3">
        <f>VALUE(LEFT(A3,6))</f>
        <v>900236</v>
      </c>
      <c r="C3" t="str">
        <f>MID(A3,9,4)</f>
        <v>BLCK</v>
      </c>
      <c r="D3" t="str">
        <f>B3&amp;C3</f>
        <v>900236BLCK</v>
      </c>
      <c r="E3" t="str">
        <f>VLOOKUP(B3,Lookup!$A$2:$G$7,2,FALSE)</f>
        <v>Fingerless Gloves</v>
      </c>
      <c r="F3" t="str">
        <f>VLOOKUP(B3,Lookup!$A$2:$G$7,3,FALSE)</f>
        <v>Cashmere</v>
      </c>
      <c r="G3" t="str">
        <f>"Cashmere "&amp;E3</f>
        <v>Cashmere Fingerless Gloves</v>
      </c>
      <c r="H3" s="35" t="inlineStr">
        <is>
          <t>TBC</t>
        </is>
      </c>
      <c r="I3" t="str">
        <f>TRIM(MID(R3,FIND(",",R3)+1,FIND(",",R3,FIND(",",R3)+1)-FIND(",",R3)-1))</f>
        <v>Black</v>
      </c>
      <c r="J3" t="inlineStr">
        <is>
          <t>One Size</t>
        </is>
      </c>
      <c r="K3" t="str">
        <f>VLOOKUP(B3,Lookup!$A$2:$G$7,4,FALSE)&amp;", "&amp;I3&amp;", O/S"</f>
        <v>Re:Born Cashmere Fingerless Gloves, Black, O/S</v>
      </c>
      <c r="L3" t="n">
        <v>6600</v>
      </c>
      <c r="M3">
        <f>VLOOKUP(B3,Lookup!$A$2:$G$7,5,FALSE)</f>
        <v>8.2</v>
      </c>
      <c r="N3">
        <f>VLOOKUP(B3,Lookup!$A$2:$G$7,6,FALSE)</f>
        <v>39</v>
      </c>
      <c r="O3">
        <f>VLOOKUP(B3,Lookup!$A$2:$G$7,7,FALSE)</f>
        <v>1.2</v>
      </c>
      <c r="P3">
        <f>IF(AND(ISNUMBER(N3),ISNUMBER(O3)),N3/O3,"TBC")</f>
        <v>32.5</v>
      </c>
      <c r="Q3">
        <f>IF(AND(ISNUMBER(N3),ISNUMBER(O3),ISNUMBER(M3)),((N3/O3)-M3)/(N3/O3),"TBC")</f>
        <v>0.7476923076923078</v>
      </c>
      <c r="R3" t="inlineStr">
        <is>
          <t>Re:Born Cashmere Fingerless Gloves, Black, O/S</t>
        </is>
      </c>
    </row>
    <row r="4">
      <c r="A4" t="inlineStr">
        <is>
          <t>900236ZZLGRY0000</t>
        </is>
      </c>
      <c r="B4">
        <f>VALUE(LEFT(A4,6))</f>
        <v>900236</v>
      </c>
      <c r="C4" t="str">
        <f>MID(A4,9,4)</f>
        <v>LGRY</v>
      </c>
      <c r="D4" t="str">
        <f>B4&amp;C4</f>
        <v>900236LGRY</v>
      </c>
      <c r="E4" t="str">
        <f>VLOOKUP(B4,Lookup!$A$2:$G$7,2,FALSE)</f>
        <v>Fingerless Gloves</v>
      </c>
      <c r="F4" t="str">
        <f>VLOOKUP(B4,Lookup!$A$2:$G$7,3,FALSE)</f>
        <v>Cashmere</v>
      </c>
      <c r="G4" t="str">
        <f>"Cashmere "&amp;E4</f>
        <v>Cashmere Fingerless Gloves</v>
      </c>
      <c r="H4" s="35" t="inlineStr">
        <is>
          <t>TBC</t>
        </is>
      </c>
      <c r="I4" t="str">
        <f>TRIM(MID(R4,FIND(",",R4)+1,FIND(",",R4,FIND(",",R4)+1)-FIND(",",R4)-1))</f>
        <v>Light Grey</v>
      </c>
      <c r="J4" t="inlineStr">
        <is>
          <t>One Size</t>
        </is>
      </c>
      <c r="K4" t="str">
        <f>VLOOKUP(B4,Lookup!$A$2:$G$7,4,FALSE)&amp;", "&amp;I4&amp;", O/S"</f>
        <v>Re:Born Cashmere Fingerless Gloves, Light Grey, O/S</v>
      </c>
      <c r="L4" t="n">
        <v>3605</v>
      </c>
      <c r="M4">
        <f>VLOOKUP(B4,Lookup!$A$2:$G$7,5,FALSE)</f>
        <v>8.2</v>
      </c>
      <c r="N4">
        <f>VLOOKUP(B4,Lookup!$A$2:$G$7,6,FALSE)</f>
        <v>39</v>
      </c>
      <c r="O4">
        <f>VLOOKUP(B4,Lookup!$A$2:$G$7,7,FALSE)</f>
        <v>1.2</v>
      </c>
      <c r="P4">
        <f>IF(AND(ISNUMBER(N4),ISNUMBER(O4)),N4/O4,"TBC")</f>
        <v>32.5</v>
      </c>
      <c r="Q4">
        <f>IF(AND(ISNUMBER(N4),ISNUMBER(O4),ISNUMBER(M4)),((N4/O4)-M4)/(N4/O4),"TBC")</f>
        <v>0.7476923076923078</v>
      </c>
      <c r="R4" t="inlineStr">
        <is>
          <t>Re:Born Cashmere Fingerless Gloves, Light Grey, O/S</t>
        </is>
      </c>
    </row>
    <row r="5">
      <c r="A5" t="inlineStr">
        <is>
          <t>900236ZZDKGR0000</t>
        </is>
      </c>
      <c r="B5">
        <f>VALUE(LEFT(A5,6))</f>
        <v>900236</v>
      </c>
      <c r="C5" t="str">
        <f>MID(A5,9,4)</f>
        <v>DKGR</v>
      </c>
      <c r="D5" t="str">
        <f>B5&amp;C5</f>
        <v>900236DKGR</v>
      </c>
      <c r="E5" t="str">
        <f>VLOOKUP(B5,Lookup!$A$2:$G$7,2,FALSE)</f>
        <v>Fingerless Gloves</v>
      </c>
      <c r="F5" t="str">
        <f>VLOOKUP(B5,Lookup!$A$2:$G$7,3,FALSE)</f>
        <v>Cashmere</v>
      </c>
      <c r="G5" t="str">
        <f>"Cashmere "&amp;E5</f>
        <v>Cashmere Fingerless Gloves</v>
      </c>
      <c r="H5" s="35" t="inlineStr">
        <is>
          <t>TBC</t>
        </is>
      </c>
      <c r="I5" t="str">
        <f>TRIM(MID(R5,FIND(",",R5)+1,FIND(",",R5,FIND(",",R5)+1)-FIND(",",R5)-1))</f>
        <v>Dark Grey</v>
      </c>
      <c r="J5" t="inlineStr">
        <is>
          <t>One Size</t>
        </is>
      </c>
      <c r="K5" t="str">
        <f>VLOOKUP(B5,Lookup!$A$2:$G$7,4,FALSE)&amp;", "&amp;I5&amp;", O/S"</f>
        <v>Re:Born Cashmere Fingerless Gloves, Dark Grey, O/S</v>
      </c>
      <c r="L5" t="n">
        <v>3599</v>
      </c>
      <c r="M5">
        <f>VLOOKUP(B5,Lookup!$A$2:$G$7,5,FALSE)</f>
        <v>8.2</v>
      </c>
      <c r="N5">
        <f>VLOOKUP(B5,Lookup!$A$2:$G$7,6,FALSE)</f>
        <v>39</v>
      </c>
      <c r="O5">
        <f>VLOOKUP(B5,Lookup!$A$2:$G$7,7,FALSE)</f>
        <v>1.2</v>
      </c>
      <c r="P5">
        <f>IF(AND(ISNUMBER(N5),ISNUMBER(O5)),N5/O5,"TBC")</f>
        <v>32.5</v>
      </c>
      <c r="Q5">
        <f>IF(AND(ISNUMBER(N5),ISNUMBER(O5),ISNUMBER(M5)),((N5/O5)-M5)/(N5/O5),"TBC")</f>
        <v>0.7476923076923078</v>
      </c>
      <c r="R5" t="inlineStr">
        <is>
          <t>Re:Born Cashmere Fingerless Gloves, Dark Grey, O/S</t>
        </is>
      </c>
    </row>
    <row r="6">
      <c r="A6" t="inlineStr">
        <is>
          <t>900236ZZLLBL0000</t>
        </is>
      </c>
      <c r="B6">
        <f>VALUE(LEFT(A6,6))</f>
        <v>900236</v>
      </c>
      <c r="C6" t="str">
        <f>MID(A6,9,4)</f>
        <v>LLBL</v>
      </c>
      <c r="D6" t="str">
        <f>B6&amp;C6</f>
        <v>900236LLBL</v>
      </c>
      <c r="E6" t="str">
        <f>VLOOKUP(B6,Lookup!$A$2:$G$7,2,FALSE)</f>
        <v>Fingerless Gloves</v>
      </c>
      <c r="F6" t="str">
        <f>VLOOKUP(B6,Lookup!$A$2:$G$7,3,FALSE)</f>
        <v>Cashmere</v>
      </c>
      <c r="G6" t="str">
        <f>"Cashmere "&amp;E6</f>
        <v>Cashmere Fingerless Gloves</v>
      </c>
      <c r="H6" s="35" t="inlineStr">
        <is>
          <t>TBC</t>
        </is>
      </c>
      <c r="I6" t="str">
        <f>TRIM(MID(R6,FIND(",",R6)+1,FIND(",",R6,FIND(",",R6)+1)-FIND(",",R6)-1))</f>
        <v>Light Beige</v>
      </c>
      <c r="J6" t="inlineStr">
        <is>
          <t>One Size</t>
        </is>
      </c>
      <c r="K6" t="str">
        <f>VLOOKUP(B6,Lookup!$A$2:$G$7,4,FALSE)&amp;", "&amp;I6&amp;", O/S"</f>
        <v>Re:Born Cashmere Fingerless Gloves, Light Beige, O/S</v>
      </c>
      <c r="L6" t="n">
        <v>3018</v>
      </c>
      <c r="M6">
        <f>VLOOKUP(B6,Lookup!$A$2:$G$7,5,FALSE)</f>
        <v>8.2</v>
      </c>
      <c r="N6">
        <f>VLOOKUP(B6,Lookup!$A$2:$G$7,6,FALSE)</f>
        <v>39</v>
      </c>
      <c r="O6">
        <f>VLOOKUP(B6,Lookup!$A$2:$G$7,7,FALSE)</f>
        <v>1.2</v>
      </c>
      <c r="P6">
        <f>IF(AND(ISNUMBER(N6),ISNUMBER(O6)),N6/O6,"TBC")</f>
        <v>32.5</v>
      </c>
      <c r="Q6">
        <f>IF(AND(ISNUMBER(N6),ISNUMBER(O6),ISNUMBER(M6)),((N6/O6)-M6)/(N6/O6),"TBC")</f>
        <v>0.7476923076923078</v>
      </c>
      <c r="R6" t="inlineStr">
        <is>
          <t>Re:Born Cashmere Fingerless Gloves, Light Beige, O/S</t>
        </is>
      </c>
    </row>
    <row r="7">
      <c r="A7" t="inlineStr">
        <is>
          <t>900236ZZLTBR0000</t>
        </is>
      </c>
      <c r="B7">
        <f>VALUE(LEFT(A7,6))</f>
        <v>900236</v>
      </c>
      <c r="C7" t="str">
        <f>MID(A7,9,4)</f>
        <v>LTBR</v>
      </c>
      <c r="D7" t="str">
        <f>B7&amp;C7</f>
        <v>900236LTBR</v>
      </c>
      <c r="E7" t="str">
        <f>VLOOKUP(B7,Lookup!$A$2:$G$7,2,FALSE)</f>
        <v>Fingerless Gloves</v>
      </c>
      <c r="F7" t="str">
        <f>VLOOKUP(B7,Lookup!$A$2:$G$7,3,FALSE)</f>
        <v>Cashmere</v>
      </c>
      <c r="G7" t="str">
        <f>"Cashmere "&amp;E7</f>
        <v>Cashmere Fingerless Gloves</v>
      </c>
      <c r="H7" s="35" t="inlineStr">
        <is>
          <t>TBC</t>
        </is>
      </c>
      <c r="I7" t="str">
        <f>TRIM(MID(R7,FIND(",",R7)+1,FIND(",",R7,FIND(",",R7)+1)-FIND(",",R7)-1))</f>
        <v>Light Brown</v>
      </c>
      <c r="J7" t="inlineStr">
        <is>
          <t>One Size</t>
        </is>
      </c>
      <c r="K7" s="27" t="str">
        <f>VLOOKUP(B7,Lookup!$A$2:$G$7,4,FALSE)&amp;", "&amp;I7&amp;", O/S"</f>
        <v>Re:Born Cashmere Fingerless Gloves, Light Brown, O/S</v>
      </c>
      <c r="L7" t="n">
        <v>1302</v>
      </c>
      <c r="M7">
        <f>VLOOKUP(B7,Lookup!$A$2:$G$7,5,FALSE)</f>
        <v>8.2</v>
      </c>
      <c r="N7">
        <f>VLOOKUP(B7,Lookup!$A$2:$G$7,6,FALSE)</f>
        <v>39</v>
      </c>
      <c r="O7">
        <f>VLOOKUP(B7,Lookup!$A$2:$G$7,7,FALSE)</f>
        <v>1.2</v>
      </c>
      <c r="P7">
        <f>IF(AND(ISNUMBER(N7),ISNUMBER(O7)),N7/O7,"TBC")</f>
        <v>32.5</v>
      </c>
      <c r="Q7">
        <f>IF(AND(ISNUMBER(N7),ISNUMBER(O7),ISNUMBER(M7)),((N7/O7)-M7)/(N7/O7),"TBC")</f>
        <v>0.7476923076923078</v>
      </c>
      <c r="R7" t="inlineStr">
        <is>
          <t>Re:Born Cashmere Fingerless Gloves, Light Brown, O/S</t>
        </is>
      </c>
    </row>
    <row r="8">
      <c r="A8" t="inlineStr">
        <is>
          <t>900236ZZNAVY0000</t>
        </is>
      </c>
      <c r="B8">
        <f>VALUE(LEFT(A8,6))</f>
        <v>900236</v>
      </c>
      <c r="C8" t="str">
        <f>MID(A8,9,4)</f>
        <v>NAVY</v>
      </c>
      <c r="D8" s="1" t="str">
        <f>B8&amp;C8</f>
        <v>900236NAVY</v>
      </c>
      <c r="E8" s="1" t="str">
        <f>VLOOKUP(B8,Lookup!$A$2:$G$7,2,FALSE)</f>
        <v>Fingerless Gloves</v>
      </c>
      <c r="F8" s="1" t="str">
        <f>VLOOKUP(B8,Lookup!$A$2:$G$7,3,FALSE)</f>
        <v>Cashmere</v>
      </c>
      <c r="G8" s="1" t="str">
        <f>"Cashmere "&amp;E8</f>
        <v>Cashmere Fingerless Gloves</v>
      </c>
      <c r="H8" s="36" t="inlineStr">
        <is>
          <t>TBC</t>
        </is>
      </c>
      <c r="I8" s="1" t="str">
        <f>TRIM(MID(R8,FIND(",",R8)+1,FIND(",",R8,FIND(",",R8)+1)-FIND(",",R8)-1))</f>
        <v>Navy</v>
      </c>
      <c r="J8" s="1" t="inlineStr">
        <is>
          <t>One Size</t>
        </is>
      </c>
      <c r="K8" t="str">
        <f>VLOOKUP(B8,Lookup!$A$2:$G$7,4,FALSE)&amp;", "&amp;I8&amp;", O/S"</f>
        <v>Re:Born Cashmere Fingerless Gloves, Navy, O/S</v>
      </c>
      <c r="L8" t="n">
        <v>1036</v>
      </c>
      <c r="M8" s="1">
        <f>VLOOKUP(B8,Lookup!$A$2:$G$7,5,FALSE)</f>
        <v>8.2</v>
      </c>
      <c r="N8" s="1">
        <f>VLOOKUP(B8,Lookup!$A$2:$G$7,6,FALSE)</f>
        <v>39</v>
      </c>
      <c r="O8" s="1">
        <f>VLOOKUP(B8,Lookup!$A$2:$G$7,7,FALSE)</f>
        <v>1.2</v>
      </c>
      <c r="P8" s="1">
        <f>IF(AND(ISNUMBER(N8),ISNUMBER(O8)),N8/O8,"TBC")</f>
        <v>32.5</v>
      </c>
      <c r="Q8" s="1">
        <f>IF(AND(ISNUMBER(N8),ISNUMBER(O8),ISNUMBER(M8)),((N8/O8)-M8)/(N8/O8),"TBC")</f>
        <v>0.7476923076923078</v>
      </c>
      <c r="R8" s="1" t="inlineStr">
        <is>
          <t>Re:Born Cashmere Fingerless Gloves, Navy, O/S</t>
        </is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</row>
    <row r="9">
      <c r="A9" t="inlineStr">
        <is>
          <t>900236ZZLMLL0000</t>
        </is>
      </c>
      <c r="B9">
        <f>VALUE(LEFT(A9,6))</f>
        <v>900236</v>
      </c>
      <c r="C9" t="str">
        <f>MID(A9,9,4)</f>
        <v>LMLL</v>
      </c>
      <c r="D9" t="str">
        <f>B9&amp;C9</f>
        <v>900236LMLL</v>
      </c>
      <c r="E9" t="str">
        <f>VLOOKUP(B9,Lookup!$A$2:$G$7,2,FALSE)</f>
        <v>Fingerless Gloves</v>
      </c>
      <c r="F9" t="str">
        <f>VLOOKUP(B9,Lookup!$A$2:$G$7,3,FALSE)</f>
        <v>Cashmere</v>
      </c>
      <c r="G9" t="str">
        <f>"Cashmere "&amp;E9</f>
        <v>Cashmere Fingerless Gloves</v>
      </c>
      <c r="H9" s="35" t="inlineStr">
        <is>
          <t>TBC</t>
        </is>
      </c>
      <c r="I9" t="str">
        <f>TRIM(MID(R9,FIND(",",R9)+1,FIND(",",R9,FIND(",",R9)+1)-FIND(",",R9)-1))</f>
        <v>Light Maroon</v>
      </c>
      <c r="J9" t="inlineStr">
        <is>
          <t>One Size</t>
        </is>
      </c>
      <c r="K9" t="str">
        <f>VLOOKUP(B9,Lookup!$A$2:$G$7,4,FALSE)&amp;", "&amp;I9&amp;", O/S"</f>
        <v>Re:Born Cashmere Fingerless Gloves, Light Maroon, O/S</v>
      </c>
      <c r="L9" t="n">
        <v>991</v>
      </c>
      <c r="M9">
        <f>VLOOKUP(B9,Lookup!$A$2:$G$7,5,FALSE)</f>
        <v>8.2</v>
      </c>
      <c r="N9">
        <f>VLOOKUP(B9,Lookup!$A$2:$G$7,6,FALSE)</f>
        <v>39</v>
      </c>
      <c r="O9">
        <f>VLOOKUP(B9,Lookup!$A$2:$G$7,7,FALSE)</f>
        <v>1.2</v>
      </c>
      <c r="P9">
        <f>IF(AND(ISNUMBER(N9),ISNUMBER(O9)),N9/O9,"TBC")</f>
        <v>32.5</v>
      </c>
      <c r="Q9">
        <f>IF(AND(ISNUMBER(N9),ISNUMBER(O9),ISNUMBER(M9)),((N9/O9)-M9)/(N9/O9),"TBC")</f>
        <v>0.7476923076923078</v>
      </c>
      <c r="R9" t="inlineStr">
        <is>
          <t>Re:Born Cashmere Fingerless Gloves, Light Maroon, O/S</t>
        </is>
      </c>
    </row>
    <row r="10">
      <c r="A10" t="inlineStr">
        <is>
          <t>900236ZZRDST0000</t>
        </is>
      </c>
      <c r="B10">
        <f>VALUE(LEFT(A10,6))</f>
        <v>900236</v>
      </c>
      <c r="C10" t="str">
        <f>MID(A10,9,4)</f>
        <v>RDST</v>
      </c>
      <c r="D10" s="1" t="str">
        <f>B10&amp;C10</f>
        <v>900236RDST</v>
      </c>
      <c r="E10" s="1" t="str">
        <f>VLOOKUP(B10,Lookup!$A$2:$G$7,2,FALSE)</f>
        <v>Fingerless Gloves</v>
      </c>
      <c r="F10" s="1" t="str">
        <f>VLOOKUP(B10,Lookup!$A$2:$G$7,3,FALSE)</f>
        <v>Cashmere</v>
      </c>
      <c r="G10" s="1" t="str">
        <f>"Cashmere "&amp;E10</f>
        <v>Cashmere Fingerless Gloves</v>
      </c>
      <c r="H10" s="36" t="inlineStr">
        <is>
          <t>TBC</t>
        </is>
      </c>
      <c r="I10" s="1" t="str">
        <f>TRIM(MID(R10,FIND(",",R10)+1,FIND(",",R10,FIND(",",R10)+1)-FIND(",",R10)-1))</f>
        <v>Red</v>
      </c>
      <c r="J10" s="1" t="inlineStr">
        <is>
          <t>One Size</t>
        </is>
      </c>
      <c r="K10" t="str">
        <f>VLOOKUP(B10,Lookup!$A$2:$G$7,4,FALSE)&amp;", "&amp;I10&amp;", O/S"</f>
        <v>Re:Born Cashmere Fingerless Gloves, Red, O/S</v>
      </c>
      <c r="L10" t="n">
        <v>988</v>
      </c>
      <c r="M10" s="1">
        <f>VLOOKUP(B10,Lookup!$A$2:$G$7,5,FALSE)</f>
        <v>8.2</v>
      </c>
      <c r="N10" s="1">
        <f>VLOOKUP(B10,Lookup!$A$2:$G$7,6,FALSE)</f>
        <v>39</v>
      </c>
      <c r="O10" s="1">
        <f>VLOOKUP(B10,Lookup!$A$2:$G$7,7,FALSE)</f>
        <v>1.2</v>
      </c>
      <c r="P10" s="1">
        <f>IF(AND(ISNUMBER(N10),ISNUMBER(O10)),N10/O10,"TBC")</f>
        <v>32.5</v>
      </c>
      <c r="Q10" s="1">
        <f>IF(AND(ISNUMBER(N10),ISNUMBER(O10),ISNUMBER(M10)),((N10/O10)-M10)/(N10/O10),"TBC")</f>
        <v>0.7476923076923078</v>
      </c>
      <c r="R10" s="1" t="inlineStr">
        <is>
          <t>Re:Born Cashmere Fingerless Gloves, Red, O/S</t>
        </is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</row>
    <row r="11">
      <c r="A11" t="inlineStr">
        <is>
          <t>900236ZZAAAC0000</t>
        </is>
      </c>
      <c r="B11">
        <f>VALUE(LEFT(A11,6))</f>
        <v>900236</v>
      </c>
      <c r="C11" t="str">
        <f>MID(A11,9,4)</f>
        <v>AAAC</v>
      </c>
      <c r="D11" t="str">
        <f>B11&amp;C11</f>
        <v>900236AAAC</v>
      </c>
      <c r="E11" t="str">
        <f>VLOOKUP(B11,Lookup!$A$2:$G$7,2,FALSE)</f>
        <v>Fingerless Gloves</v>
      </c>
      <c r="F11" t="str">
        <f>VLOOKUP(B11,Lookup!$A$2:$G$7,3,FALSE)</f>
        <v>Cashmere</v>
      </c>
      <c r="G11" t="str">
        <f>"Cashmere "&amp;E11</f>
        <v>Cashmere Fingerless Gloves</v>
      </c>
      <c r="H11" s="35" t="inlineStr">
        <is>
          <t>TBC</t>
        </is>
      </c>
      <c r="I11" t="str">
        <f>TRIM(MID(R11,FIND(",",R11)+1,FIND(",",R11,FIND(",",R11)+1)-FIND(",",R11)-1))</f>
        <v>Baby Pink</v>
      </c>
      <c r="J11" t="inlineStr">
        <is>
          <t>One Size</t>
        </is>
      </c>
      <c r="K11" t="str">
        <f>VLOOKUP(B11,Lookup!$A$2:$G$7,4,FALSE)&amp;", "&amp;I11&amp;", O/S"</f>
        <v>Re:Born Cashmere Fingerless Gloves, Baby Pink, O/S</v>
      </c>
      <c r="L11" t="n">
        <v>800</v>
      </c>
      <c r="M11">
        <f>VLOOKUP(B11,Lookup!$A$2:$G$7,5,FALSE)</f>
        <v>8.2</v>
      </c>
      <c r="N11">
        <f>VLOOKUP(B11,Lookup!$A$2:$G$7,6,FALSE)</f>
        <v>39</v>
      </c>
      <c r="O11">
        <f>VLOOKUP(B11,Lookup!$A$2:$G$7,7,FALSE)</f>
        <v>1.2</v>
      </c>
      <c r="P11">
        <f>IF(AND(ISNUMBER(N11),ISNUMBER(O11)),N11/O11,"TBC")</f>
        <v>32.5</v>
      </c>
      <c r="Q11">
        <f>IF(AND(ISNUMBER(N11),ISNUMBER(O11),ISNUMBER(M11)),((N11/O11)-M11)/(N11/O11),"TBC")</f>
        <v>0.7476923076923078</v>
      </c>
      <c r="R11" t="inlineStr">
        <is>
          <t>Re:Born Cashmere Fingerless Gloves, Baby Pink, O/S</t>
        </is>
      </c>
    </row>
    <row r="12">
      <c r="A12" t="inlineStr">
        <is>
          <t>900236ZZDKBR0000</t>
        </is>
      </c>
      <c r="B12">
        <f>VALUE(LEFT(A12,6))</f>
        <v>900236</v>
      </c>
      <c r="C12" t="str">
        <f>MID(A12,9,4)</f>
        <v>DKBR</v>
      </c>
      <c r="D12" t="str">
        <f>B12&amp;C12</f>
        <v>900236DKBR</v>
      </c>
      <c r="E12" t="str">
        <f>VLOOKUP(B12,Lookup!$A$2:$G$7,2,FALSE)</f>
        <v>Fingerless Gloves</v>
      </c>
      <c r="F12" t="str">
        <f>VLOOKUP(B12,Lookup!$A$2:$G$7,3,FALSE)</f>
        <v>Cashmere</v>
      </c>
      <c r="G12" t="str">
        <f>"Cashmere "&amp;E12</f>
        <v>Cashmere Fingerless Gloves</v>
      </c>
      <c r="H12" s="35" t="inlineStr">
        <is>
          <t>TBC</t>
        </is>
      </c>
      <c r="I12" t="str">
        <f>TRIM(MID(R12,FIND(",",R12)+1,FIND(",",R12,FIND(",",R12)+1)-FIND(",",R12)-1))</f>
        <v>Dark Brown</v>
      </c>
      <c r="J12" t="inlineStr">
        <is>
          <t>One Size</t>
        </is>
      </c>
      <c r="K12" t="str">
        <f>VLOOKUP(B12,Lookup!$A$2:$G$7,4,FALSE)&amp;", "&amp;I12&amp;", O/S"</f>
        <v>Re:Born Cashmere Fingerless Gloves, Dark Brown, O/S</v>
      </c>
      <c r="L12" t="n">
        <v>740</v>
      </c>
      <c r="M12">
        <f>VLOOKUP(B12,Lookup!$A$2:$G$7,5,FALSE)</f>
        <v>8.2</v>
      </c>
      <c r="N12">
        <f>VLOOKUP(B12,Lookup!$A$2:$G$7,6,FALSE)</f>
        <v>39</v>
      </c>
      <c r="O12">
        <f>VLOOKUP(B12,Lookup!$A$2:$G$7,7,FALSE)</f>
        <v>1.2</v>
      </c>
      <c r="P12">
        <f>IF(AND(ISNUMBER(N12),ISNUMBER(O12)),N12/O12,"TBC")</f>
        <v>32.5</v>
      </c>
      <c r="Q12">
        <f>IF(AND(ISNUMBER(N12),ISNUMBER(O12),ISNUMBER(M12)),((N12/O12)-M12)/(N12/O12),"TBC")</f>
        <v>0.7476923076923078</v>
      </c>
      <c r="R12" t="inlineStr">
        <is>
          <t>Re:Born Cashmere Fingerless Gloves, Dark Brown, O/S</t>
        </is>
      </c>
    </row>
    <row r="13">
      <c r="A13" t="inlineStr">
        <is>
          <t>900236ZZYELL0000</t>
        </is>
      </c>
      <c r="B13">
        <f>VALUE(LEFT(A13,6))</f>
        <v>900236</v>
      </c>
      <c r="C13" t="str">
        <f>MID(A13,9,4)</f>
        <v>YELL</v>
      </c>
      <c r="D13" t="str">
        <f>B13&amp;C13</f>
        <v>900236YELL</v>
      </c>
      <c r="E13" t="str">
        <f>VLOOKUP(B13,Lookup!$A$2:$G$7,2,FALSE)</f>
        <v>Fingerless Gloves</v>
      </c>
      <c r="F13" t="str">
        <f>VLOOKUP(B13,Lookup!$A$2:$G$7,3,FALSE)</f>
        <v>Cashmere</v>
      </c>
      <c r="G13" t="str">
        <f>"Cashmere "&amp;E13</f>
        <v>Cashmere Fingerless Gloves</v>
      </c>
      <c r="H13" s="35" t="inlineStr">
        <is>
          <t>TBC</t>
        </is>
      </c>
      <c r="I13" t="str">
        <f>TRIM(MID(R13,FIND(",",R13)+1,FIND(",",R13,FIND(",",R13)+1)-FIND(",",R13)-1))</f>
        <v>Yellow</v>
      </c>
      <c r="J13" t="inlineStr">
        <is>
          <t>One Size</t>
        </is>
      </c>
      <c r="K13" t="str">
        <f>VLOOKUP(B13,Lookup!$A$2:$G$7,4,FALSE)&amp;", "&amp;I13&amp;", O/S"</f>
        <v>Re:Born Cashmere Fingerless Gloves, Yellow, O/S</v>
      </c>
      <c r="L13" t="n">
        <v>736</v>
      </c>
      <c r="M13">
        <f>VLOOKUP(B13,Lookup!$A$2:$G$7,5,FALSE)</f>
        <v>8.2</v>
      </c>
      <c r="N13">
        <f>VLOOKUP(B13,Lookup!$A$2:$G$7,6,FALSE)</f>
        <v>39</v>
      </c>
      <c r="O13">
        <f>VLOOKUP(B13,Lookup!$A$2:$G$7,7,FALSE)</f>
        <v>1.2</v>
      </c>
      <c r="P13">
        <f>IF(AND(ISNUMBER(N13),ISNUMBER(O13)),N13/O13,"TBC")</f>
        <v>32.5</v>
      </c>
      <c r="Q13">
        <f>IF(AND(ISNUMBER(N13),ISNUMBER(O13),ISNUMBER(M13)),((N13/O13)-M13)/(N13/O13),"TBC")</f>
        <v>0.7476923076923078</v>
      </c>
      <c r="R13" t="inlineStr">
        <is>
          <t>Re:Born Cashmere Fingerless Gloves, Yellow, O/S</t>
        </is>
      </c>
    </row>
    <row r="14">
      <c r="A14" t="inlineStr">
        <is>
          <t>900236ZZBEIG0000</t>
        </is>
      </c>
      <c r="B14">
        <f>VALUE(LEFT(A14,6))</f>
        <v>900236</v>
      </c>
      <c r="C14" t="str">
        <f>MID(A14,9,4)</f>
        <v>BEIG</v>
      </c>
      <c r="D14" t="str">
        <f>B14&amp;C14</f>
        <v>900236BEIG</v>
      </c>
      <c r="E14" t="str">
        <f>VLOOKUP(B14,Lookup!$A$2:$G$7,2,FALSE)</f>
        <v>Fingerless Gloves</v>
      </c>
      <c r="F14" t="str">
        <f>VLOOKUP(B14,Lookup!$A$2:$G$7,3,FALSE)</f>
        <v>Cashmere</v>
      </c>
      <c r="G14" t="str">
        <f>"Cashmere "&amp;E14</f>
        <v>Cashmere Fingerless Gloves</v>
      </c>
      <c r="H14" s="35" t="inlineStr">
        <is>
          <t>TBC</t>
        </is>
      </c>
      <c r="I14" t="str">
        <f>TRIM(MID(R14,FIND(",",R14)+1,FIND(",",R14,FIND(",",R14)+1)-FIND(",",R14)-1))</f>
        <v>Beige</v>
      </c>
      <c r="J14" t="inlineStr">
        <is>
          <t>One Size</t>
        </is>
      </c>
      <c r="K14" t="str">
        <f>VLOOKUP(B14,Lookup!$A$2:$G$7,4,FALSE)&amp;", "&amp;I14&amp;", O/S"</f>
        <v>Re:Born Cashmere Fingerless Gloves, Beige, O/S</v>
      </c>
      <c r="L14" t="n">
        <v>624</v>
      </c>
      <c r="M14">
        <f>VLOOKUP(B14,Lookup!$A$2:$G$7,5,FALSE)</f>
        <v>8.2</v>
      </c>
      <c r="N14">
        <f>VLOOKUP(B14,Lookup!$A$2:$G$7,6,FALSE)</f>
        <v>39</v>
      </c>
      <c r="O14">
        <f>VLOOKUP(B14,Lookup!$A$2:$G$7,7,FALSE)</f>
        <v>1.2</v>
      </c>
      <c r="P14">
        <f>IF(AND(ISNUMBER(N14),ISNUMBER(O14)),N14/O14,"TBC")</f>
        <v>32.5</v>
      </c>
      <c r="Q14">
        <f>IF(AND(ISNUMBER(N14),ISNUMBER(O14),ISNUMBER(M14)),((N14/O14)-M14)/(N14/O14),"TBC")</f>
        <v>0.7476923076923078</v>
      </c>
      <c r="R14" t="inlineStr">
        <is>
          <t>Re:Born Cashmere Fingerless Gloves, Beige, O/S</t>
        </is>
      </c>
    </row>
    <row r="15">
      <c r="A15" t="inlineStr">
        <is>
          <t>900236ZZDMAA0000</t>
        </is>
      </c>
      <c r="B15">
        <f>VALUE(LEFT(A15,6))</f>
        <v>900236</v>
      </c>
      <c r="C15" t="str">
        <f>MID(A15,9,4)</f>
        <v>DMAA</v>
      </c>
      <c r="D15" t="str">
        <f>B15&amp;C15</f>
        <v>900236DMAA</v>
      </c>
      <c r="E15" t="str">
        <f>VLOOKUP(B15,Lookup!$A$2:$G$7,2,FALSE)</f>
        <v>Fingerless Gloves</v>
      </c>
      <c r="F15" t="str">
        <f>VLOOKUP(B15,Lookup!$A$2:$G$7,3,FALSE)</f>
        <v>Cashmere</v>
      </c>
      <c r="G15" t="str">
        <f>"Cashmere "&amp;E15</f>
        <v>Cashmere Fingerless Gloves</v>
      </c>
      <c r="H15" s="35" t="inlineStr">
        <is>
          <t>TBC</t>
        </is>
      </c>
      <c r="I15" t="str">
        <f>TRIM(MID(R15,FIND(",",R15)+1,FIND(",",R15,FIND(",",R15)+1)-FIND(",",R15)-1))</f>
        <v>Deep Matcha Green</v>
      </c>
      <c r="J15" t="inlineStr">
        <is>
          <t>One Size</t>
        </is>
      </c>
      <c r="K15" t="str">
        <f>VLOOKUP(B15,Lookup!$A$2:$G$7,4,FALSE)&amp;", "&amp;I15&amp;", O/S"</f>
        <v>Re:Born Cashmere Fingerless Gloves, Deep Matcha Green, O/S</v>
      </c>
      <c r="L15" t="n">
        <v>598</v>
      </c>
      <c r="M15">
        <f>VLOOKUP(B15,Lookup!$A$2:$G$7,5,FALSE)</f>
        <v>8.2</v>
      </c>
      <c r="N15">
        <f>VLOOKUP(B15,Lookup!$A$2:$G$7,6,FALSE)</f>
        <v>39</v>
      </c>
      <c r="O15">
        <f>VLOOKUP(B15,Lookup!$A$2:$G$7,7,FALSE)</f>
        <v>1.2</v>
      </c>
      <c r="P15">
        <f>IF(AND(ISNUMBER(N15),ISNUMBER(O15)),N15/O15,"TBC")</f>
        <v>32.5</v>
      </c>
      <c r="Q15">
        <f>IF(AND(ISNUMBER(N15),ISNUMBER(O15),ISNUMBER(M15)),((N15/O15)-M15)/(N15/O15),"TBC")</f>
        <v>0.7476923076923078</v>
      </c>
      <c r="R15" t="inlineStr">
        <is>
          <t>Re:Born Cashmere Fingerless Gloves, Deep Matcha Green, O/S</t>
        </is>
      </c>
    </row>
    <row r="16">
      <c r="A16" t="inlineStr">
        <is>
          <t>900236ZZBAPP0000</t>
        </is>
      </c>
      <c r="B16">
        <f>VALUE(LEFT(A16,6))</f>
        <v>900236</v>
      </c>
      <c r="C16" t="str">
        <f>MID(A16,9,4)</f>
        <v>BAPP</v>
      </c>
      <c r="D16" t="str">
        <f>B16&amp;C16</f>
        <v>900236BAPP</v>
      </c>
      <c r="E16" t="str">
        <f>VLOOKUP(B16,Lookup!$A$2:$G$7,2,FALSE)</f>
        <v>Fingerless Gloves</v>
      </c>
      <c r="F16" t="str">
        <f>VLOOKUP(B16,Lookup!$A$2:$G$7,3,FALSE)</f>
        <v>Cashmere</v>
      </c>
      <c r="G16" t="str">
        <f>"Cashmere "&amp;E16</f>
        <v>Cashmere Fingerless Gloves</v>
      </c>
      <c r="H16" s="35" t="inlineStr">
        <is>
          <t>TBC</t>
        </is>
      </c>
      <c r="I16" t="str">
        <f>TRIM(MID(R16,FIND(",",R16)+1,FIND(",",R16,FIND(",",R16)+1)-FIND(",",R16)-1))</f>
        <v>Pink</v>
      </c>
      <c r="J16" t="inlineStr">
        <is>
          <t>One Size</t>
        </is>
      </c>
      <c r="K16" s="26" t="str">
        <f>VLOOKUP(B16,Lookup!$A$2:$G$7,4,FALSE)&amp;", "&amp;I16&amp;", O/S"</f>
        <v>Re:Born Cashmere Fingerless Gloves, Pink, O/S</v>
      </c>
      <c r="L16" t="n">
        <v>534</v>
      </c>
      <c r="M16">
        <f>VLOOKUP(B16,Lookup!$A$2:$G$7,5,FALSE)</f>
        <v>8.2</v>
      </c>
      <c r="N16">
        <f>VLOOKUP(B16,Lookup!$A$2:$G$7,6,FALSE)</f>
        <v>39</v>
      </c>
      <c r="O16">
        <f>VLOOKUP(B16,Lookup!$A$2:$G$7,7,FALSE)</f>
        <v>1.2</v>
      </c>
      <c r="P16">
        <f>IF(AND(ISNUMBER(N16),ISNUMBER(O16)),N16/O16,"TBC")</f>
        <v>32.5</v>
      </c>
      <c r="Q16">
        <f>IF(AND(ISNUMBER(N16),ISNUMBER(O16),ISNUMBER(M16)),((N16/O16)-M16)/(N16/O16),"TBC")</f>
        <v>0.7476923076923078</v>
      </c>
      <c r="R16" t="inlineStr">
        <is>
          <t>Re:Born Cashmere Fingerless Gloves, Pink, O/S</t>
        </is>
      </c>
    </row>
    <row r="17">
      <c r="A17" t="inlineStr">
        <is>
          <t>900236ZZMIII0000</t>
        </is>
      </c>
      <c r="B17">
        <f>VALUE(LEFT(A17,6))</f>
        <v>900236</v>
      </c>
      <c r="C17" t="str">
        <f>MID(A17,9,4)</f>
        <v>MIII</v>
      </c>
      <c r="D17" t="str">
        <f>B17&amp;C17</f>
        <v>900236MIII</v>
      </c>
      <c r="E17" t="str">
        <f>VLOOKUP(B17,Lookup!$A$2:$G$7,2,FALSE)</f>
        <v>Fingerless Gloves</v>
      </c>
      <c r="F17" t="str">
        <f>VLOOKUP(B17,Lookup!$A$2:$G$7,3,FALSE)</f>
        <v>Cashmere</v>
      </c>
      <c r="G17" t="str">
        <f>"Cashmere "&amp;E17</f>
        <v>Cashmere Fingerless Gloves</v>
      </c>
      <c r="H17" s="35" t="inlineStr">
        <is>
          <t>TBC</t>
        </is>
      </c>
      <c r="I17" t="str">
        <f>TRIM(MID(R17,FIND(",",R17)+1,FIND(",",R17,FIND(",",R17)+1)-FIND(",",R17)-1))</f>
        <v>Military Green</v>
      </c>
      <c r="J17" t="inlineStr">
        <is>
          <t>One Size</t>
        </is>
      </c>
      <c r="K17" s="26" t="str">
        <f>VLOOKUP(B17,Lookup!$A$2:$G$7,4,FALSE)&amp;", "&amp;I17&amp;", O/S"</f>
        <v>Re:Born Cashmere Fingerless Gloves, Military Green, O/S</v>
      </c>
      <c r="L17" t="n">
        <v>525</v>
      </c>
      <c r="M17">
        <f>VLOOKUP(B17,Lookup!$A$2:$G$7,5,FALSE)</f>
        <v>8.2</v>
      </c>
      <c r="N17">
        <f>VLOOKUP(B17,Lookup!$A$2:$G$7,6,FALSE)</f>
        <v>39</v>
      </c>
      <c r="O17">
        <f>VLOOKUP(B17,Lookup!$A$2:$G$7,7,FALSE)</f>
        <v>1.2</v>
      </c>
      <c r="P17">
        <f>IF(AND(ISNUMBER(N17),ISNUMBER(O17)),N17/O17,"TBC")</f>
        <v>32.5</v>
      </c>
      <c r="Q17">
        <f>IF(AND(ISNUMBER(N17),ISNUMBER(O17),ISNUMBER(M17)),((N17/O17)-M17)/(N17/O17),"TBC")</f>
        <v>0.7476923076923078</v>
      </c>
      <c r="R17" t="inlineStr">
        <is>
          <t>Re:Born Cashmere Fingerless Gloves, Military Green, O/S</t>
        </is>
      </c>
    </row>
    <row r="18">
      <c r="A18" t="inlineStr">
        <is>
          <t>900236ZZLTGN0000</t>
        </is>
      </c>
      <c r="B18">
        <f>VALUE(LEFT(A18,6))</f>
        <v>900236</v>
      </c>
      <c r="C18" t="str">
        <f>MID(A18,9,4)</f>
        <v>LTGN</v>
      </c>
      <c r="D18" t="str">
        <f>B18&amp;C18</f>
        <v>900236LTGN</v>
      </c>
      <c r="E18" t="str">
        <f>VLOOKUP(B18,Lookup!$A$2:$G$7,2,FALSE)</f>
        <v>Fingerless Gloves</v>
      </c>
      <c r="F18" t="str">
        <f>VLOOKUP(B18,Lookup!$A$2:$G$7,3,FALSE)</f>
        <v>Cashmere</v>
      </c>
      <c r="G18" t="str">
        <f>"Cashmere "&amp;E18</f>
        <v>Cashmere Fingerless Gloves</v>
      </c>
      <c r="H18" s="35" t="inlineStr">
        <is>
          <t>TBC</t>
        </is>
      </c>
      <c r="I18" t="str">
        <f>TRIM(MID(R18,FIND(",",R18)+1,FIND(",",R18,FIND(",",R18)+1)-FIND(",",R18)-1))</f>
        <v>Light Green</v>
      </c>
      <c r="J18" t="inlineStr">
        <is>
          <t>One Size</t>
        </is>
      </c>
      <c r="K18" s="26" t="str">
        <f>VLOOKUP(B18,Lookup!$A$2:$G$7,4,FALSE)&amp;", "&amp;I18&amp;", O/S"</f>
        <v>Re:Born Cashmere Fingerless Gloves, Light Green, O/S</v>
      </c>
      <c r="L18" t="n">
        <v>445</v>
      </c>
      <c r="M18">
        <f>VLOOKUP(B18,Lookup!$A$2:$G$7,5,FALSE)</f>
        <v>8.2</v>
      </c>
      <c r="N18">
        <f>VLOOKUP(B18,Lookup!$A$2:$G$7,6,FALSE)</f>
        <v>39</v>
      </c>
      <c r="O18">
        <f>VLOOKUP(B18,Lookup!$A$2:$G$7,7,FALSE)</f>
        <v>1.2</v>
      </c>
      <c r="P18">
        <f>IF(AND(ISNUMBER(N18),ISNUMBER(O18)),N18/O18,"TBC")</f>
        <v>32.5</v>
      </c>
      <c r="Q18">
        <f>IF(AND(ISNUMBER(N18),ISNUMBER(O18),ISNUMBER(M18)),((N18/O18)-M18)/(N18/O18),"TBC")</f>
        <v>0.7476923076923078</v>
      </c>
      <c r="R18" t="inlineStr">
        <is>
          <t>Re:Born Cashmere Fingerless Gloves, Light Green, O/S</t>
        </is>
      </c>
    </row>
    <row r="19">
      <c r="A19" t="inlineStr">
        <is>
          <t>900236ZZLIBL0000</t>
        </is>
      </c>
      <c r="B19">
        <f>VALUE(LEFT(A19,6))</f>
        <v>900236</v>
      </c>
      <c r="C19" t="str">
        <f>MID(A19,9,4)</f>
        <v>LIBL</v>
      </c>
      <c r="D19" t="str">
        <f>B19&amp;C19</f>
        <v>900236LIBL</v>
      </c>
      <c r="E19" t="str">
        <f>VLOOKUP(B19,Lookup!$A$2:$G$7,2,FALSE)</f>
        <v>Fingerless Gloves</v>
      </c>
      <c r="F19" t="str">
        <f>VLOOKUP(B19,Lookup!$A$2:$G$7,3,FALSE)</f>
        <v>Cashmere</v>
      </c>
      <c r="G19" t="str">
        <f>"Cashmere "&amp;E19</f>
        <v>Cashmere Fingerless Gloves</v>
      </c>
      <c r="H19" s="35" t="inlineStr">
        <is>
          <t>TBC</t>
        </is>
      </c>
      <c r="I19" t="str">
        <f>TRIM(MID(R19,FIND(",",R19)+1,FIND(",",R19,FIND(",",R19)+1)-FIND(",",R19)-1))</f>
        <v>Light Blue</v>
      </c>
      <c r="J19" t="inlineStr">
        <is>
          <t>One Size</t>
        </is>
      </c>
      <c r="K19" s="26" t="str">
        <f>VLOOKUP(B19,Lookup!$A$2:$G$7,4,FALSE)&amp;", "&amp;I19&amp;", O/S"</f>
        <v>Re:Born Cashmere Fingerless Gloves, Light Blue, O/S</v>
      </c>
      <c r="L19" t="n">
        <v>418</v>
      </c>
      <c r="M19">
        <f>VLOOKUP(B19,Lookup!$A$2:$G$7,5,FALSE)</f>
        <v>8.2</v>
      </c>
      <c r="N19">
        <f>VLOOKUP(B19,Lookup!$A$2:$G$7,6,FALSE)</f>
        <v>39</v>
      </c>
      <c r="O19">
        <f>VLOOKUP(B19,Lookup!$A$2:$G$7,7,FALSE)</f>
        <v>1.2</v>
      </c>
      <c r="P19">
        <f>IF(AND(ISNUMBER(N19),ISNUMBER(O19)),N19/O19,"TBC")</f>
        <v>32.5</v>
      </c>
      <c r="Q19">
        <f>IF(AND(ISNUMBER(N19),ISNUMBER(O19),ISNUMBER(M19)),((N19/O19)-M19)/(N19/O19),"TBC")</f>
        <v>0.7476923076923078</v>
      </c>
      <c r="R19" t="inlineStr">
        <is>
          <t>Re:Born Cashmere Fingerless Gloves, Light Blue, O/S</t>
        </is>
      </c>
    </row>
    <row r="20">
      <c r="A20" t="inlineStr">
        <is>
          <t>900236ZZLAVE0000</t>
        </is>
      </c>
      <c r="B20">
        <f>VALUE(LEFT(A20,6))</f>
        <v>900236</v>
      </c>
      <c r="C20" t="str">
        <f>MID(A20,9,4)</f>
        <v>LAVE</v>
      </c>
      <c r="D20" t="str">
        <f>B20&amp;C20</f>
        <v>900236LAVE</v>
      </c>
      <c r="E20" t="str">
        <f>VLOOKUP(B20,Lookup!$A$2:$G$7,2,FALSE)</f>
        <v>Fingerless Gloves</v>
      </c>
      <c r="F20" t="str">
        <f>VLOOKUP(B20,Lookup!$A$2:$G$7,3,FALSE)</f>
        <v>Cashmere</v>
      </c>
      <c r="G20" t="str">
        <f>"Cashmere "&amp;E20</f>
        <v>Cashmere Fingerless Gloves</v>
      </c>
      <c r="H20" s="35" t="inlineStr">
        <is>
          <t>TBC</t>
        </is>
      </c>
      <c r="I20" t="str">
        <f>TRIM(MID(R20,FIND(",",R20)+1,FIND(",",R20,FIND(",",R20)+1)-FIND(",",R20)-1))</f>
        <v>Lavender</v>
      </c>
      <c r="J20" t="inlineStr">
        <is>
          <t>One Size</t>
        </is>
      </c>
      <c r="K20" s="26" t="str">
        <f>VLOOKUP(B20,Lookup!$A$2:$G$7,4,FALSE)&amp;", "&amp;I20&amp;", O/S"</f>
        <v>Re:Born Cashmere Fingerless Gloves, Lavender, O/S</v>
      </c>
      <c r="L20" t="n">
        <v>377</v>
      </c>
      <c r="M20">
        <f>VLOOKUP(B20,Lookup!$A$2:$G$7,5,FALSE)</f>
        <v>8.2</v>
      </c>
      <c r="N20">
        <f>VLOOKUP(B20,Lookup!$A$2:$G$7,6,FALSE)</f>
        <v>39</v>
      </c>
      <c r="O20">
        <f>VLOOKUP(B20,Lookup!$A$2:$G$7,7,FALSE)</f>
        <v>1.2</v>
      </c>
      <c r="P20">
        <f>IF(AND(ISNUMBER(N20),ISNUMBER(O20)),N20/O20,"TBC")</f>
        <v>32.5</v>
      </c>
      <c r="Q20">
        <f>IF(AND(ISNUMBER(N20),ISNUMBER(O20),ISNUMBER(M20)),((N20/O20)-M20)/(N20/O20),"TBC")</f>
        <v>0.7476923076923078</v>
      </c>
      <c r="R20" t="inlineStr">
        <is>
          <t>Re:Born Cashmere Fingerless Gloves, Lavender, O/S</t>
        </is>
      </c>
    </row>
    <row r="21">
      <c r="A21" s="28" t="inlineStr">
        <is>
          <t>900236ZZMRRR0000</t>
        </is>
      </c>
      <c r="B21">
        <f>VALUE(LEFT(A21,6))</f>
        <v>900236</v>
      </c>
      <c r="C21" t="str">
        <f>MID(A21,9,4)</f>
        <v>MRRR</v>
      </c>
      <c r="D21" t="str">
        <f>B21&amp;C21</f>
        <v>900236MRRR</v>
      </c>
      <c r="E21" t="str">
        <f>VLOOKUP(B21,Lookup!$A$2:$G$7,2,FALSE)</f>
        <v>Fingerless Gloves</v>
      </c>
      <c r="F21" t="str">
        <f>VLOOKUP(B21,Lookup!$A$2:$G$7,3,FALSE)</f>
        <v>Cashmere</v>
      </c>
      <c r="G21" t="str">
        <f>"Cashmere "&amp;E21</f>
        <v>Cashmere Fingerless Gloves</v>
      </c>
      <c r="H21" s="35" t="inlineStr">
        <is>
          <t>TBC</t>
        </is>
      </c>
      <c r="I21" t="str">
        <f>TRIM(MID(R21,FIND(",",R21)+1,FIND(",",R21,FIND(",",R21)+1)-FIND(",",R21)-1))</f>
        <v>Maroon</v>
      </c>
      <c r="J21" t="inlineStr">
        <is>
          <t>One Size</t>
        </is>
      </c>
      <c r="K21" t="str">
        <f>VLOOKUP(B21,Lookup!$A$2:$G$7,4,FALSE)&amp;", "&amp;I21&amp;", O/S"</f>
        <v>Re:Born Cashmere Fingerless Gloves, Maroon, O/S</v>
      </c>
      <c r="L21" t="n">
        <v>365</v>
      </c>
      <c r="M21">
        <f>VLOOKUP(B21,Lookup!$A$2:$G$7,5,FALSE)</f>
        <v>8.2</v>
      </c>
      <c r="N21">
        <f>VLOOKUP(B21,Lookup!$A$2:$G$7,6,FALSE)</f>
        <v>39</v>
      </c>
      <c r="O21">
        <f>VLOOKUP(B21,Lookup!$A$2:$G$7,7,FALSE)</f>
        <v>1.2</v>
      </c>
      <c r="P21">
        <f>IF(AND(ISNUMBER(N21),ISNUMBER(O21)),N21/O21,"TBC")</f>
        <v>32.5</v>
      </c>
      <c r="Q21">
        <f>IF(AND(ISNUMBER(N21),ISNUMBER(O21),ISNUMBER(M21)),((N21/O21)-M21)/(N21/O21),"TBC")</f>
        <v>0.7476923076923078</v>
      </c>
      <c r="R21" t="inlineStr">
        <is>
          <t>Re:Born Cashmere Fingerless Gloves, Maroon, O/S</t>
        </is>
      </c>
    </row>
    <row r="22">
      <c r="A22" t="inlineStr">
        <is>
          <t>900236ZZDNBL0000</t>
        </is>
      </c>
      <c r="B22">
        <f>VALUE(LEFT(A22,6))</f>
        <v>900236</v>
      </c>
      <c r="C22" t="str">
        <f>MID(A22,9,4)</f>
        <v>DNBL</v>
      </c>
      <c r="D22" t="str">
        <f>B22&amp;C22</f>
        <v>900236DNBL</v>
      </c>
      <c r="E22" t="str">
        <f>VLOOKUP(B22,Lookup!$A$2:$G$7,2,FALSE)</f>
        <v>Fingerless Gloves</v>
      </c>
      <c r="F22" t="str">
        <f>VLOOKUP(B22,Lookup!$A$2:$G$7,3,FALSE)</f>
        <v>Cashmere</v>
      </c>
      <c r="G22" t="str">
        <f>"Cashmere "&amp;E22</f>
        <v>Cashmere Fingerless Gloves</v>
      </c>
      <c r="H22" s="35" t="inlineStr">
        <is>
          <t>TBC</t>
        </is>
      </c>
      <c r="I22" t="str">
        <f>TRIM(MID(R22,FIND(",",R22)+1,FIND(",",R22,FIND(",",R22)+1)-FIND(",",R22)-1))</f>
        <v>Denim Blue</v>
      </c>
      <c r="J22" t="inlineStr">
        <is>
          <t>One Size</t>
        </is>
      </c>
      <c r="K22" t="str">
        <f>VLOOKUP(B22,Lookup!$A$2:$G$7,4,FALSE)&amp;", "&amp;I22&amp;", O/S"</f>
        <v>Re:Born Cashmere Fingerless Gloves, Denim Blue, O/S</v>
      </c>
      <c r="L22" t="n">
        <v>355</v>
      </c>
      <c r="M22">
        <f>VLOOKUP(B22,Lookup!$A$2:$G$7,5,FALSE)</f>
        <v>8.2</v>
      </c>
      <c r="N22">
        <f>VLOOKUP(B22,Lookup!$A$2:$G$7,6,FALSE)</f>
        <v>39</v>
      </c>
      <c r="O22">
        <f>VLOOKUP(B22,Lookup!$A$2:$G$7,7,FALSE)</f>
        <v>1.2</v>
      </c>
      <c r="P22">
        <f>IF(AND(ISNUMBER(N22),ISNUMBER(O22)),N22/O22,"TBC")</f>
        <v>32.5</v>
      </c>
      <c r="Q22">
        <f>IF(AND(ISNUMBER(N22),ISNUMBER(O22),ISNUMBER(M22)),((N22/O22)-M22)/(N22/O22),"TBC")</f>
        <v>0.7476923076923078</v>
      </c>
      <c r="R22" t="inlineStr">
        <is>
          <t>Re:Born Cashmere Fingerless Gloves, Denim Blue, O/S</t>
        </is>
      </c>
    </row>
    <row r="23">
      <c r="A23" t="inlineStr">
        <is>
          <t>900236ZZKELL0000</t>
        </is>
      </c>
      <c r="B23">
        <f>VALUE(LEFT(A23,6))</f>
        <v>900236</v>
      </c>
      <c r="C23" t="str">
        <f>MID(A23,9,4)</f>
        <v>KELL</v>
      </c>
      <c r="D23" t="str">
        <f>B23&amp;C23</f>
        <v>900236KELL</v>
      </c>
      <c r="E23" t="str">
        <f>VLOOKUP(B23,Lookup!$A$2:$G$7,2,FALSE)</f>
        <v>Fingerless Gloves</v>
      </c>
      <c r="F23" t="str">
        <f>VLOOKUP(B23,Lookup!$A$2:$G$7,3,FALSE)</f>
        <v>Cashmere</v>
      </c>
      <c r="G23" t="str">
        <f>"Cashmere "&amp;E23</f>
        <v>Cashmere Fingerless Gloves</v>
      </c>
      <c r="H23" s="35" t="inlineStr">
        <is>
          <t>TBC</t>
        </is>
      </c>
      <c r="I23" t="str">
        <f>TRIM(MID(R23,FIND(",",R23)+1,FIND(",",R23,FIND(",",R23)+1)-FIND(",",R23)-1))</f>
        <v>Kelly Green</v>
      </c>
      <c r="J23" t="inlineStr">
        <is>
          <t>One Size</t>
        </is>
      </c>
      <c r="K23" t="str">
        <f>VLOOKUP(B23,Lookup!$A$2:$G$7,4,FALSE)&amp;", "&amp;I23&amp;", O/S"</f>
        <v>Re:Born Cashmere Fingerless Gloves, Kelly Green, O/S</v>
      </c>
      <c r="L23" t="n">
        <v>121</v>
      </c>
      <c r="M23">
        <f>VLOOKUP(B23,Lookup!$A$2:$G$7,5,FALSE)</f>
        <v>8.2</v>
      </c>
      <c r="N23">
        <f>VLOOKUP(B23,Lookup!$A$2:$G$7,6,FALSE)</f>
        <v>39</v>
      </c>
      <c r="O23">
        <f>VLOOKUP(B23,Lookup!$A$2:$G$7,7,FALSE)</f>
        <v>1.2</v>
      </c>
      <c r="P23">
        <f>IF(AND(ISNUMBER(N23),ISNUMBER(O23)),N23/O23,"TBC")</f>
        <v>32.5</v>
      </c>
      <c r="Q23">
        <f>IF(AND(ISNUMBER(N23),ISNUMBER(O23),ISNUMBER(M23)),((N23/O23)-M23)/(N23/O23),"TBC")</f>
        <v>0.7476923076923078</v>
      </c>
      <c r="R23" t="inlineStr">
        <is>
          <t>Re:Born Cashmere Fingerless Gloves, Kelly Green, O/S</t>
        </is>
      </c>
    </row>
    <row r="24">
      <c r="A24" t="inlineStr">
        <is>
          <t>900234ZZAADP0000</t>
        </is>
      </c>
      <c r="B24">
        <f>VALUE(LEFT(A24,6))</f>
        <v>900234</v>
      </c>
      <c r="C24" t="str">
        <f>MID(A24,9,4)</f>
        <v>AADP</v>
      </c>
      <c r="D24" t="str">
        <f>B24&amp;C24</f>
        <v>900234AADP</v>
      </c>
      <c r="E24" t="str">
        <f>VLOOKUP(B24,Lookup!$A$2:$G$7,2,FALSE)</f>
        <v>Beanie &amp; Glove Set</v>
      </c>
      <c r="F24" t="str">
        <f>VLOOKUP(B24,Lookup!$A$2:$G$7,3,FALSE)</f>
        <v>Cashmere</v>
      </c>
      <c r="G24" t="str">
        <f>"Cashmere "&amp;E24</f>
        <v>Cashmere Beanie &amp; Glove Set</v>
      </c>
      <c r="H24" s="35" t="inlineStr">
        <is>
          <t>TBC</t>
        </is>
      </c>
      <c r="I24" t="str">
        <f>TRIM(MID(R24,FIND(",",R24)+1,FIND(",",R24,FIND(",",R24)+1)-FIND(",",R24)-1))</f>
        <v>Black &amp; Red</v>
      </c>
      <c r="J24" t="inlineStr">
        <is>
          <t>One Size</t>
        </is>
      </c>
      <c r="K24" t="str">
        <f>VLOOKUP(B24,Lookup!$A$2:$G$7,4,FALSE)&amp;", "&amp;I24&amp;", O/S"</f>
        <v>Re:Born Beanie &amp; Glove Set, Black &amp; Red, O/S</v>
      </c>
      <c r="L24" t="n">
        <v>117</v>
      </c>
      <c r="M24">
        <f>VLOOKUP(B24,Lookup!$A$2:$G$7,5,FALSE)</f>
        <v>17.2</v>
      </c>
      <c r="N24" t="str">
        <f>VLOOKUP(B24,Lookup!$A$2:$G$7,6,FALSE)</f>
        <v>TBC</v>
      </c>
      <c r="O24">
        <f>VLOOKUP(B24,Lookup!$A$2:$G$7,7,FALSE)</f>
        <v>1.2</v>
      </c>
      <c r="P24" t="str">
        <f>IF(AND(ISNUMBER(N24),ISNUMBER(O24)),N24/O24,"TBC")</f>
        <v>TBC</v>
      </c>
      <c r="Q24" t="str">
        <f>IF(AND(ISNUMBER(N24),ISNUMBER(O24),ISNUMBER(M24)),((N24/O24)-M24)/(N24/O24),"TBC")</f>
        <v>TBC</v>
      </c>
      <c r="R24" t="inlineStr">
        <is>
          <t>Re:Born Beanie &amp; Glove Set, Black &amp; Red, O/S</t>
        </is>
      </c>
    </row>
    <row r="25">
      <c r="A25" t="inlineStr">
        <is>
          <t>900235ZZREAA0000</t>
        </is>
      </c>
      <c r="B25">
        <f>VALUE(LEFT(A25,6))</f>
        <v>900235</v>
      </c>
      <c r="C25" t="str">
        <f>MID(A25,9,4)</f>
        <v>REAA</v>
      </c>
      <c r="D25" t="str">
        <f>B25&amp;C25</f>
        <v>900235REAA</v>
      </c>
      <c r="E25" t="str">
        <f>VLOOKUP(B25,Lookup!$A$2:$G$7,2,FALSE)</f>
        <v>2 Pack Gloves</v>
      </c>
      <c r="F25" t="str">
        <f>VLOOKUP(B25,Lookup!$A$2:$G$7,3,FALSE)</f>
        <v>Cashmere</v>
      </c>
      <c r="G25" t="str">
        <f>"Cashmere "&amp;E25</f>
        <v>Cashmere 2 Pack Gloves</v>
      </c>
      <c r="H25" s="35" t="inlineStr">
        <is>
          <t>TBC</t>
        </is>
      </c>
      <c r="I25" t="str">
        <f>TRIM(MID(R25,FIND(",",R25)+1,FIND(",",R25,FIND(",",R25)+1)-FIND(",",R25)-1))</f>
        <v>Red And Navy</v>
      </c>
      <c r="J25" t="inlineStr">
        <is>
          <t>One Size</t>
        </is>
      </c>
      <c r="K25" t="str">
        <f>VLOOKUP(B25,Lookup!$A$2:$G$7,4,FALSE)&amp;", "&amp;I25&amp;", O/S"</f>
        <v>Re:Born 2 Pack Gloves, Red And Navy, O/S</v>
      </c>
      <c r="L25" t="n">
        <v>98</v>
      </c>
      <c r="M25" t="str">
        <f>VLOOKUP(B25,Lookup!$A$2:$G$7,5,FALSE)</f>
        <v>TBC</v>
      </c>
      <c r="N25" t="str">
        <f>VLOOKUP(B25,Lookup!$A$2:$G$7,6,FALSE)</f>
        <v>TBC</v>
      </c>
      <c r="O25" t="str">
        <f>VLOOKUP(B25,Lookup!$A$2:$G$7,7,FALSE)</f>
        <v>TBC</v>
      </c>
      <c r="P25" t="str">
        <f>IF(AND(ISNUMBER(N25),ISNUMBER(O25)),N25/O25,"TBC")</f>
        <v>TBC</v>
      </c>
      <c r="Q25" t="str">
        <f>IF(AND(ISNUMBER(N25),ISNUMBER(O25),ISNUMBER(M25)),((N25/O25)-M25)/(N25/O25),"TBC")</f>
        <v>TBC</v>
      </c>
      <c r="R25" t="inlineStr">
        <is>
          <t>Re:Born 2 Pack Gloves, Red And Navy, O/S</t>
        </is>
      </c>
    </row>
    <row r="26">
      <c r="A26" t="inlineStr">
        <is>
          <t>900236ZZAAAK0000</t>
        </is>
      </c>
      <c r="B26">
        <f>VALUE(LEFT(A26,6))</f>
        <v>900236</v>
      </c>
      <c r="C26" t="str">
        <f>MID(A26,9,4)</f>
        <v>AAAK</v>
      </c>
      <c r="D26" t="str">
        <f>B26&amp;C26</f>
        <v>900236AAAK</v>
      </c>
      <c r="E26" t="str">
        <f>VLOOKUP(B26,Lookup!$A$2:$G$7,2,FALSE)</f>
        <v>Fingerless Gloves</v>
      </c>
      <c r="F26" t="str">
        <f>VLOOKUP(B26,Lookup!$A$2:$G$7,3,FALSE)</f>
        <v>Cashmere</v>
      </c>
      <c r="G26" t="str">
        <f>"Cashmere "&amp;E26</f>
        <v>Cashmere Fingerless Gloves</v>
      </c>
      <c r="H26" s="35" t="inlineStr">
        <is>
          <t>TBC</t>
        </is>
      </c>
      <c r="I26" t="str">
        <f>TRIM(MID(R26,FIND(",",R26)+1,FIND(",",R26,FIND(",",R26)+1)-FIND(",",R26)-1))</f>
        <v>Hot Pink</v>
      </c>
      <c r="J26" t="inlineStr">
        <is>
          <t>One Size</t>
        </is>
      </c>
      <c r="K26" t="str">
        <f>VLOOKUP(B26,Lookup!$A$2:$G$7,4,FALSE)&amp;", "&amp;I26&amp;", O/S"</f>
        <v>Re:Born Cashmere Fingerless Gloves, Hot Pink, O/S</v>
      </c>
      <c r="L26" t="n">
        <v>81</v>
      </c>
      <c r="M26">
        <f>VLOOKUP(B26,Lookup!$A$2:$G$7,5,FALSE)</f>
        <v>8.2</v>
      </c>
      <c r="N26">
        <f>VLOOKUP(B26,Lookup!$A$2:$G$7,6,FALSE)</f>
        <v>39</v>
      </c>
      <c r="O26">
        <f>VLOOKUP(B26,Lookup!$A$2:$G$7,7,FALSE)</f>
        <v>1.2</v>
      </c>
      <c r="P26">
        <f>IF(AND(ISNUMBER(N26),ISNUMBER(O26)),N26/O26,"TBC")</f>
        <v>32.5</v>
      </c>
      <c r="Q26">
        <f>IF(AND(ISNUMBER(N26),ISNUMBER(O26),ISNUMBER(M26)),((N26/O26)-M26)/(N26/O26),"TBC")</f>
        <v>0.7476923076923078</v>
      </c>
      <c r="R26" t="inlineStr">
        <is>
          <t>Re:Born Cashmere Fingerless Gloves, Hot Pink, O/S</t>
        </is>
      </c>
    </row>
    <row r="27">
      <c r="A27" t="inlineStr">
        <is>
          <t>900235ZZBCAA0000</t>
        </is>
      </c>
      <c r="B27">
        <f>VALUE(LEFT(A27,6))</f>
        <v>900235</v>
      </c>
      <c r="C27" t="str">
        <f>MID(A27,9,4)</f>
        <v>BCAA</v>
      </c>
      <c r="D27" t="str">
        <f>B27&amp;C27</f>
        <v>900235BCAA</v>
      </c>
      <c r="E27" t="str">
        <f>VLOOKUP(B27,Lookup!$A$2:$G$7,2,FALSE)</f>
        <v>2 Pack Gloves</v>
      </c>
      <c r="F27" t="str">
        <f>VLOOKUP(B27,Lookup!$A$2:$G$7,3,FALSE)</f>
        <v>Cashmere</v>
      </c>
      <c r="G27" t="str">
        <f>"Cashmere "&amp;E27</f>
        <v>Cashmere 2 Pack Gloves</v>
      </c>
      <c r="H27" s="35" t="inlineStr">
        <is>
          <t>TBC</t>
        </is>
      </c>
      <c r="I27" t="str">
        <f>TRIM(MID(R27,FIND(",",R27)+1,FIND(",",R27,FIND(",",R27)+1)-FIND(",",R27)-1))</f>
        <v>Black And Caramel</v>
      </c>
      <c r="J27" t="inlineStr">
        <is>
          <t>One Size</t>
        </is>
      </c>
      <c r="K27" t="str">
        <f>VLOOKUP(B27,Lookup!$A$2:$G$7,4,FALSE)&amp;", "&amp;I27&amp;", O/S"</f>
        <v>Re:Born 2 Pack Gloves, Black And Caramel, O/S</v>
      </c>
      <c r="L27" t="n">
        <v>41</v>
      </c>
      <c r="M27" t="str">
        <f>VLOOKUP(B27,Lookup!$A$2:$G$7,5,FALSE)</f>
        <v>TBC</v>
      </c>
      <c r="N27" t="str">
        <f>VLOOKUP(B27,Lookup!$A$2:$G$7,6,FALSE)</f>
        <v>TBC</v>
      </c>
      <c r="O27" t="str">
        <f>VLOOKUP(B27,Lookup!$A$2:$G$7,7,FALSE)</f>
        <v>TBC</v>
      </c>
      <c r="P27" t="str">
        <f>IF(AND(ISNUMBER(N27),ISNUMBER(O27)),N27/O27,"TBC")</f>
        <v>TBC</v>
      </c>
      <c r="Q27" t="str">
        <f>IF(AND(ISNUMBER(N27),ISNUMBER(O27),ISNUMBER(M27)),((N27/O27)-M27)/(N27/O27),"TBC")</f>
        <v>TBC</v>
      </c>
      <c r="R27" t="inlineStr">
        <is>
          <t>Re:Born 2 Pack Gloves, Black And Caramel, O/S</t>
        </is>
      </c>
    </row>
    <row r="28">
      <c r="A28" t="inlineStr">
        <is>
          <t>900236ZZAADI0000</t>
        </is>
      </c>
      <c r="B28">
        <f>VALUE(LEFT(A28,6))</f>
        <v>900236</v>
      </c>
      <c r="C28" t="str">
        <f>MID(A28,9,4)</f>
        <v>AADI</v>
      </c>
      <c r="D28" t="str">
        <f>B28&amp;C28</f>
        <v>900236AADI</v>
      </c>
      <c r="E28" t="str">
        <f>VLOOKUP(B28,Lookup!$A$2:$G$7,2,FALSE)</f>
        <v>Fingerless Gloves</v>
      </c>
      <c r="F28" t="str">
        <f>VLOOKUP(B28,Lookup!$A$2:$G$7,3,FALSE)</f>
        <v>Cashmere</v>
      </c>
      <c r="G28" t="str">
        <f>"Cashmere "&amp;E28</f>
        <v>Cashmere Fingerless Gloves</v>
      </c>
      <c r="H28" s="35" t="inlineStr">
        <is>
          <t>TBC</t>
        </is>
      </c>
      <c r="I28" t="str">
        <f>TRIM(MID(R28,FIND(",",R28)+1,FIND(",",R28,FIND(",",R28)+1)-FIND(",",R28)-1))</f>
        <v>One Of A Kind</v>
      </c>
      <c r="J28" t="inlineStr">
        <is>
          <t>One Size</t>
        </is>
      </c>
      <c r="K28" t="str">
        <f>VLOOKUP(B28,Lookup!$A$2:$G$7,4,FALSE)&amp;", "&amp;I28&amp;", O/S"</f>
        <v>Re:Born Cashmere Fingerless Gloves, One Of A Kind, O/S</v>
      </c>
      <c r="L28" t="n">
        <v>41</v>
      </c>
      <c r="M28">
        <f>VLOOKUP(B28,Lookup!$A$2:$G$7,5,FALSE)</f>
        <v>8.2</v>
      </c>
      <c r="N28">
        <f>VLOOKUP(B28,Lookup!$A$2:$G$7,6,FALSE)</f>
        <v>39</v>
      </c>
      <c r="O28">
        <f>VLOOKUP(B28,Lookup!$A$2:$G$7,7,FALSE)</f>
        <v>1.2</v>
      </c>
      <c r="P28">
        <f>IF(AND(ISNUMBER(N28),ISNUMBER(O28)),N28/O28,"TBC")</f>
        <v>32.5</v>
      </c>
      <c r="Q28">
        <f>IF(AND(ISNUMBER(N28),ISNUMBER(O28),ISNUMBER(M28)),((N28/O28)-M28)/(N28/O28),"TBC")</f>
        <v>0.7476923076923078</v>
      </c>
      <c r="R28" t="inlineStr">
        <is>
          <t>Re:Born Cashmere Fingerless Gloves, One Of A Kind, O/S</t>
        </is>
      </c>
    </row>
    <row r="29">
      <c r="A29" t="inlineStr">
        <is>
          <t>900236ZZBRRR0000</t>
        </is>
      </c>
      <c r="B29">
        <f>VALUE(LEFT(A29,6))</f>
        <v>900236</v>
      </c>
      <c r="C29" t="str">
        <f>MID(A29,9,4)</f>
        <v>BRRR</v>
      </c>
      <c r="D29" t="str">
        <f>B29&amp;C29</f>
        <v>900236BRRR</v>
      </c>
      <c r="E29" t="str">
        <f>VLOOKUP(B29,Lookup!$A$2:$G$7,2,FALSE)</f>
        <v>Fingerless Gloves</v>
      </c>
      <c r="F29" t="str">
        <f>VLOOKUP(B29,Lookup!$A$2:$G$7,3,FALSE)</f>
        <v>Cashmere</v>
      </c>
      <c r="G29" t="str">
        <f>"Cashmere "&amp;E29</f>
        <v>Cashmere Fingerless Gloves</v>
      </c>
      <c r="H29" s="35" t="inlineStr">
        <is>
          <t>TBC</t>
        </is>
      </c>
      <c r="I29" t="str">
        <f>TRIM(MID(R29,FIND(",",R29)+1,FIND(",",R29,FIND(",",R29)+1)-FIND(",",R29)-1))</f>
        <v>Brights</v>
      </c>
      <c r="J29" t="inlineStr">
        <is>
          <t>One Size</t>
        </is>
      </c>
      <c r="K29" t="str">
        <f>VLOOKUP(B29,Lookup!$A$2:$G$7,4,FALSE)&amp;", "&amp;I29&amp;", O/S"</f>
        <v>Re:Born Cashmere Fingerless Gloves, Brights, O/S</v>
      </c>
      <c r="L29" t="n">
        <v>33</v>
      </c>
      <c r="M29">
        <f>VLOOKUP(B29,Lookup!$A$2:$G$7,5,FALSE)</f>
        <v>8.2</v>
      </c>
      <c r="N29">
        <f>VLOOKUP(B29,Lookup!$A$2:$G$7,6,FALSE)</f>
        <v>39</v>
      </c>
      <c r="O29">
        <f>VLOOKUP(B29,Lookup!$A$2:$G$7,7,FALSE)</f>
        <v>1.2</v>
      </c>
      <c r="P29">
        <f>IF(AND(ISNUMBER(N29),ISNUMBER(O29)),N29/O29,"TBC")</f>
        <v>32.5</v>
      </c>
      <c r="Q29">
        <f>IF(AND(ISNUMBER(N29),ISNUMBER(O29),ISNUMBER(M29)),((N29/O29)-M29)/(N29/O29),"TBC")</f>
        <v>0.7476923076923078</v>
      </c>
      <c r="R29" t="inlineStr">
        <is>
          <t>Re:Born Cashmere Fingerless Gloves, Brights, O/S</t>
        </is>
      </c>
    </row>
    <row r="30">
      <c r="A30" t="inlineStr">
        <is>
          <t>900234ZZNBAN0000</t>
        </is>
      </c>
      <c r="B30">
        <f>VALUE(LEFT(A30,6))</f>
        <v>900234</v>
      </c>
      <c r="C30" t="str">
        <f>MID(A30,9,4)</f>
        <v>NBAN</v>
      </c>
      <c r="D30" t="str">
        <f>B30&amp;C30</f>
        <v>900234NBAN</v>
      </c>
      <c r="E30" t="str">
        <f>VLOOKUP(B30,Lookup!$A$2:$G$7,2,FALSE)</f>
        <v>Beanie &amp; Glove Set</v>
      </c>
      <c r="F30" t="str">
        <f>VLOOKUP(B30,Lookup!$A$2:$G$7,3,FALSE)</f>
        <v>Cashmere</v>
      </c>
      <c r="G30" t="str">
        <f>"Cashmere "&amp;E30</f>
        <v>Cashmere Beanie &amp; Glove Set</v>
      </c>
      <c r="H30" s="35" t="inlineStr">
        <is>
          <t>TBC</t>
        </is>
      </c>
      <c r="I30" t="str">
        <f>TRIM(MID(R30,FIND(",",R30)+1,FIND(",",R30,FIND(",",R30)+1)-FIND(",",R30)-1))</f>
        <v>Navy And Beige</v>
      </c>
      <c r="J30" t="inlineStr">
        <is>
          <t>One Size</t>
        </is>
      </c>
      <c r="K30" t="str">
        <f>VLOOKUP(B30,Lookup!$A$2:$G$7,4,FALSE)&amp;", "&amp;I30&amp;", O/S"</f>
        <v>Re:Born Beanie &amp; Glove Set, Navy And Beige, O/S</v>
      </c>
      <c r="L30" t="n">
        <v>30</v>
      </c>
      <c r="M30">
        <f>VLOOKUP(B30,Lookup!$A$2:$G$7,5,FALSE)</f>
        <v>17.2</v>
      </c>
      <c r="N30" t="str">
        <f>VLOOKUP(B30,Lookup!$A$2:$G$7,6,FALSE)</f>
        <v>TBC</v>
      </c>
      <c r="O30">
        <f>VLOOKUP(B30,Lookup!$A$2:$G$7,7,FALSE)</f>
        <v>1.2</v>
      </c>
      <c r="P30" t="str">
        <f>IF(AND(ISNUMBER(N30),ISNUMBER(O30)),N30/O30,"TBC")</f>
        <v>TBC</v>
      </c>
      <c r="Q30" t="str">
        <f>IF(AND(ISNUMBER(N30),ISNUMBER(O30),ISNUMBER(M30)),((N30/O30)-M30)/(N30/O30),"TBC")</f>
        <v>TBC</v>
      </c>
      <c r="R30" t="inlineStr">
        <is>
          <t>Re:Born Beanie &amp; Glove Set, Navy And Beige, O/S</t>
        </is>
      </c>
    </row>
    <row r="31">
      <c r="A31" t="inlineStr">
        <is>
          <t>900231ZZLBAL0000</t>
        </is>
      </c>
      <c r="B31">
        <f>VALUE(LEFT(A31,6))</f>
        <v>900231</v>
      </c>
      <c r="C31" t="str">
        <f>MID(A31,9,4)</f>
        <v>LBAL</v>
      </c>
      <c r="D31" t="str">
        <f>B31&amp;C31</f>
        <v>900231LBAL</v>
      </c>
      <c r="E31" t="str">
        <f>VLOOKUP(B31,Lookup!$A$2:$G$7,2,FALSE)</f>
        <v>Reversible Beanie</v>
      </c>
      <c r="F31" t="str">
        <f>VLOOKUP(B31,Lookup!$A$2:$G$7,3,FALSE)</f>
        <v>Cashmere</v>
      </c>
      <c r="G31" t="str">
        <f>"Cashmere "&amp;E31</f>
        <v>Cashmere Reversible Beanie</v>
      </c>
      <c r="H31" s="35" t="inlineStr">
        <is>
          <t>TBC</t>
        </is>
      </c>
      <c r="I31" t="str">
        <f>TRIM(MID(R31,FIND(",",R31)+1,FIND(",",R31,FIND(",",R31)+1)-FIND(",",R31)-1))</f>
        <v>Light Blue&amp;Light Beige</v>
      </c>
      <c r="J31" t="inlineStr">
        <is>
          <t>One Size</t>
        </is>
      </c>
      <c r="K31" t="str">
        <f>VLOOKUP(B31,Lookup!$A$2:$G$7,4,FALSE)&amp;", "&amp;I31&amp;", O/S"</f>
        <v>Re:Born Reversible Cashmere Beanie, Light Blue&amp;Light Beige, O/S</v>
      </c>
      <c r="L31" t="n">
        <v>13</v>
      </c>
      <c r="M31">
        <f>VLOOKUP(B31,Lookup!$A$2:$G$7,5,FALSE)</f>
        <v>9.1</v>
      </c>
      <c r="N31">
        <f>VLOOKUP(B31,Lookup!$A$2:$G$7,6,FALSE)</f>
        <v>39</v>
      </c>
      <c r="O31">
        <f>VLOOKUP(B31,Lookup!$A$2:$G$7,7,FALSE)</f>
        <v>1.2</v>
      </c>
      <c r="P31">
        <f>IF(AND(ISNUMBER(N31),ISNUMBER(O31)),N31/O31,"TBC")</f>
        <v>32.5</v>
      </c>
      <c r="Q31">
        <f>IF(AND(ISNUMBER(N31),ISNUMBER(O31),ISNUMBER(M31)),((N31/O31)-M31)/(N31/O31),"TBC")</f>
        <v>0.72</v>
      </c>
      <c r="R31" t="inlineStr">
        <is>
          <t>Re:Born Reverse Cashmere Beanie, Light Blue&amp;Light Beige, O/S</t>
        </is>
      </c>
    </row>
    <row r="32">
      <c r="A32" t="inlineStr">
        <is>
          <t>900231ZZBLLL0000</t>
        </is>
      </c>
      <c r="B32">
        <f>VALUE(LEFT(A32,6))</f>
        <v>900231</v>
      </c>
      <c r="C32" t="str">
        <f>MID(A32,9,4)</f>
        <v>BLLL</v>
      </c>
      <c r="D32" t="str">
        <f>B32&amp;C32</f>
        <v>900231BLLL</v>
      </c>
      <c r="E32" t="str">
        <f>VLOOKUP(B32,Lookup!$A$2:$G$7,2,FALSE)</f>
        <v>Reversible Beanie</v>
      </c>
      <c r="F32" t="str">
        <f>VLOOKUP(B32,Lookup!$A$2:$G$7,3,FALSE)</f>
        <v>Cashmere</v>
      </c>
      <c r="G32" t="str">
        <f>"Cashmere "&amp;E32</f>
        <v>Cashmere Reversible Beanie</v>
      </c>
      <c r="H32" s="35" t="inlineStr">
        <is>
          <t>TBC</t>
        </is>
      </c>
      <c r="I32" t="str">
        <f>TRIM(MID(R32,FIND(",",R32)+1,FIND(",",R32,FIND(",",R32)+1)-FIND(",",R32)-1))</f>
        <v>Black And Light Grey</v>
      </c>
      <c r="J32" t="inlineStr">
        <is>
          <t>One Size</t>
        </is>
      </c>
      <c r="K32" t="str">
        <f>VLOOKUP(B32,Lookup!$A$2:$G$7,4,FALSE)&amp;", "&amp;I32&amp;", O/S"</f>
        <v>Re:Born Reversible Cashmere Beanie, Black And Light Grey, O/S</v>
      </c>
      <c r="L32" t="n">
        <v>11</v>
      </c>
      <c r="M32">
        <f>VLOOKUP(B32,Lookup!$A$2:$G$7,5,FALSE)</f>
        <v>9.1</v>
      </c>
      <c r="N32">
        <f>VLOOKUP(B32,Lookup!$A$2:$G$7,6,FALSE)</f>
        <v>39</v>
      </c>
      <c r="O32">
        <f>VLOOKUP(B32,Lookup!$A$2:$G$7,7,FALSE)</f>
        <v>1.2</v>
      </c>
      <c r="P32">
        <f>IF(AND(ISNUMBER(N32),ISNUMBER(O32)),N32/O32,"TBC")</f>
        <v>32.5</v>
      </c>
      <c r="Q32">
        <f>IF(AND(ISNUMBER(N32),ISNUMBER(O32),ISNUMBER(M32)),((N32/O32)-M32)/(N32/O32),"TBC")</f>
        <v>0.72</v>
      </c>
      <c r="R32" t="inlineStr">
        <is>
          <t>Re:Born Reverse Cashmere Beanie, Black And Light Grey, O/S</t>
        </is>
      </c>
    </row>
    <row r="33">
      <c r="A33" t="inlineStr">
        <is>
          <t>900236ZZAAAH0000</t>
        </is>
      </c>
      <c r="B33">
        <f>VALUE(LEFT(A33,6))</f>
        <v>900236</v>
      </c>
      <c r="C33" t="str">
        <f>MID(A33,9,4)</f>
        <v>AAAH</v>
      </c>
      <c r="D33" t="str">
        <f>B33&amp;C33</f>
        <v>900236AAAH</v>
      </c>
      <c r="E33" t="str">
        <f>VLOOKUP(B33,Lookup!$A$2:$G$7,2,FALSE)</f>
        <v>Fingerless Gloves</v>
      </c>
      <c r="F33" t="str">
        <f>VLOOKUP(B33,Lookup!$A$2:$G$7,3,FALSE)</f>
        <v>Cashmere</v>
      </c>
      <c r="G33" t="str">
        <f>"Cashmere "&amp;E33</f>
        <v>Cashmere Fingerless Gloves</v>
      </c>
      <c r="H33" s="35" t="inlineStr">
        <is>
          <t>TBC</t>
        </is>
      </c>
      <c r="I33" t="str">
        <f>TRIM(MID(R33,FIND(",",R33)+1,FIND(",",R33,FIND(",",R33)+1)-FIND(",",R33)-1))</f>
        <v>Orange</v>
      </c>
      <c r="J33" t="inlineStr">
        <is>
          <t>One Size</t>
        </is>
      </c>
      <c r="K33" t="str">
        <f>VLOOKUP(B33,Lookup!$A$2:$G$7,4,FALSE)&amp;", "&amp;I33&amp;", O/S"</f>
        <v>Re:Born Cashmere Fingerless Gloves, Orange, O/S</v>
      </c>
      <c r="L33" t="n">
        <v>7</v>
      </c>
      <c r="M33">
        <f>VLOOKUP(B33,Lookup!$A$2:$G$7,5,FALSE)</f>
        <v>8.2</v>
      </c>
      <c r="N33">
        <f>VLOOKUP(B33,Lookup!$A$2:$G$7,6,FALSE)</f>
        <v>39</v>
      </c>
      <c r="O33">
        <f>VLOOKUP(B33,Lookup!$A$2:$G$7,7,FALSE)</f>
        <v>1.2</v>
      </c>
      <c r="P33">
        <f>IF(AND(ISNUMBER(N33),ISNUMBER(O33)),N33/O33,"TBC")</f>
        <v>32.5</v>
      </c>
      <c r="Q33">
        <f>IF(AND(ISNUMBER(N33),ISNUMBER(O33),ISNUMBER(M33)),((N33/O33)-M33)/(N33/O33),"TBC")</f>
        <v>0.7476923076923078</v>
      </c>
      <c r="R33" t="inlineStr">
        <is>
          <t>Re:Born Cashmere Fingerless Gloves, Orange, O/S</t>
        </is>
      </c>
    </row>
    <row r="34">
      <c r="A34" t="inlineStr">
        <is>
          <t>900236ZZROBU0000</t>
        </is>
      </c>
      <c r="B34">
        <f>VALUE(LEFT(A34,6))</f>
        <v>900236</v>
      </c>
      <c r="C34" t="str">
        <f>MID(A34,9,4)</f>
        <v>ROBU</v>
      </c>
      <c r="D34" s="1" t="str">
        <f>B34&amp;C34</f>
        <v>900236ROBU</v>
      </c>
      <c r="E34" s="1" t="str">
        <f>VLOOKUP(B34,Lookup!$A$2:$G$7,2,FALSE)</f>
        <v>Fingerless Gloves</v>
      </c>
      <c r="F34" s="1" t="str">
        <f>VLOOKUP(B34,Lookup!$A$2:$G$7,3,FALSE)</f>
        <v>Cashmere</v>
      </c>
      <c r="G34" s="1" t="str">
        <f>"Cashmere "&amp;E34</f>
        <v>Cashmere Fingerless Gloves</v>
      </c>
      <c r="H34" s="36" t="inlineStr">
        <is>
          <t>TBC</t>
        </is>
      </c>
      <c r="I34" s="1" t="str">
        <f>TRIM(MID(R34,FIND(",",R34)+1,FIND(",",R34,FIND(",",R34)+1)-FIND(",",R34)-1))</f>
        <v>Royal Blue</v>
      </c>
      <c r="J34" s="1" t="inlineStr">
        <is>
          <t>One Size</t>
        </is>
      </c>
      <c r="K34" t="str">
        <f>VLOOKUP(B34,Lookup!$A$2:$G$7,4,FALSE)&amp;", "&amp;I34&amp;", O/S"</f>
        <v>Re:Born Cashmere Fingerless Gloves, Royal Blue, O/S</v>
      </c>
      <c r="L34" t="n">
        <v>7</v>
      </c>
      <c r="M34" s="1">
        <f>VLOOKUP(B34,Lookup!$A$2:$G$7,5,FALSE)</f>
        <v>8.2</v>
      </c>
      <c r="N34" s="1">
        <f>VLOOKUP(B34,Lookup!$A$2:$G$7,6,FALSE)</f>
        <v>39</v>
      </c>
      <c r="O34" s="1">
        <f>VLOOKUP(B34,Lookup!$A$2:$G$7,7,FALSE)</f>
        <v>1.2</v>
      </c>
      <c r="P34" s="1">
        <f>IF(AND(ISNUMBER(N34),ISNUMBER(O34)),N34/O34,"TBC")</f>
        <v>32.5</v>
      </c>
      <c r="Q34" s="1">
        <f>IF(AND(ISNUMBER(N34),ISNUMBER(O34),ISNUMBER(M34)),((N34/O34)-M34)/(N34/O34),"TBC")</f>
        <v>0.7476923076923078</v>
      </c>
      <c r="R34" s="1" t="inlineStr">
        <is>
          <t>Re:Born Cashmere Fingerless Gloves, Royal Blue, O/S</t>
        </is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</row>
    <row r="35">
      <c r="A35" t="inlineStr">
        <is>
          <t>900232ZZLCAA0000</t>
        </is>
      </c>
      <c r="B35">
        <f>VALUE(LEFT(A35,6))</f>
        <v>900232</v>
      </c>
      <c r="C35" t="str">
        <f>MID(A35,9,4)</f>
        <v>LCAA</v>
      </c>
      <c r="D35" t="str">
        <f>B35&amp;C35</f>
        <v>900232LCAA</v>
      </c>
      <c r="E35" t="str">
        <f>VLOOKUP(B35,Lookup!$A$2:$G$7,2,FALSE)</f>
        <v>Reversible Snood</v>
      </c>
      <c r="F35" t="str">
        <f>VLOOKUP(B35,Lookup!$A$2:$G$7,3,FALSE)</f>
        <v>Cashmere</v>
      </c>
      <c r="G35" t="str">
        <f>"Cashmere "&amp;E35</f>
        <v>Cashmere Reversible Snood</v>
      </c>
      <c r="H35" s="35" t="inlineStr">
        <is>
          <t>TBC</t>
        </is>
      </c>
      <c r="I35" t="str">
        <f>TRIM(MID(R35,FIND(",",R35)+1,FIND(",",R35,FIND(",",R35)+1)-FIND(",",R35)-1))</f>
        <v>Light Beige&amp;Choco Brown</v>
      </c>
      <c r="J35" t="inlineStr">
        <is>
          <t>One Size</t>
        </is>
      </c>
      <c r="K35" t="str">
        <f>VLOOKUP(B35,Lookup!$A$2:$G$7,4,FALSE)&amp;", "&amp;I35&amp;", O/S"</f>
        <v>Re:Born Reversible Cashmere Snood, Light Beige&amp;Choco Brown, O/S</v>
      </c>
      <c r="L35" t="n">
        <v>55</v>
      </c>
      <c r="M35">
        <f>VLOOKUP(B35,Lookup!$A$2:$G$7,5,FALSE)</f>
        <v>9.1</v>
      </c>
      <c r="N35">
        <f>VLOOKUP(B35,Lookup!$A$2:$G$7,6,FALSE)</f>
        <v>42</v>
      </c>
      <c r="O35">
        <f>VLOOKUP(B35,Lookup!$A$2:$G$7,7,FALSE)</f>
        <v>1.2</v>
      </c>
      <c r="P35">
        <f>IF(AND(ISNUMBER(N35),ISNUMBER(O35)),N35/O35,"TBC")</f>
        <v>35.0</v>
      </c>
      <c r="Q35">
        <f>IF(AND(ISNUMBER(N35),ISNUMBER(O35),ISNUMBER(M35)),((N35/O35)-M35)/(N35/O35),"TBC")</f>
        <v>0.74</v>
      </c>
      <c r="R35" t="inlineStr">
        <is>
          <t>Re:Born Reverse Cashmere Snood, Light Beige&amp;Choco Brown, O/S</t>
        </is>
      </c>
    </row>
    <row r="36">
      <c r="A36" t="inlineStr">
        <is>
          <t>900231ZZBPAA0000</t>
        </is>
      </c>
      <c r="B36">
        <f>VALUE(LEFT(A36,6))</f>
        <v>900231</v>
      </c>
      <c r="C36" t="str">
        <f>MID(A36,9,4)</f>
        <v>BPAA</v>
      </c>
      <c r="D36" t="str">
        <f>B36&amp;C36</f>
        <v>900231BPAA</v>
      </c>
      <c r="E36" t="str">
        <f>VLOOKUP(B36,Lookup!$A$2:$G$7,2,FALSE)</f>
        <v>Reversible Beanie</v>
      </c>
      <c r="F36" t="str">
        <f>VLOOKUP(B36,Lookup!$A$2:$G$7,3,FALSE)</f>
        <v>Cashmere</v>
      </c>
      <c r="G36" t="str">
        <f>"Cashmere "&amp;E36</f>
        <v>Cashmere Reversible Beanie</v>
      </c>
      <c r="H36" s="35" t="inlineStr">
        <is>
          <t>TBC</t>
        </is>
      </c>
      <c r="I36" t="str">
        <f>TRIM(MID(R36,FIND(",",R36)+1,FIND(",",R36,FIND(",",R36)+1)-FIND(",",R36)-1))</f>
        <v>Baby Pink And Cream</v>
      </c>
      <c r="J36" t="inlineStr">
        <is>
          <t>One Size</t>
        </is>
      </c>
      <c r="K36" t="str">
        <f>VLOOKUP(B36,Lookup!$A$2:$G$7,4,FALSE)&amp;", "&amp;I36&amp;", O/S"</f>
        <v>Re:Born Reversible Cashmere Beanie, Baby Pink And Cream, O/S</v>
      </c>
      <c r="L36" t="n">
        <v>49</v>
      </c>
      <c r="M36">
        <f>VLOOKUP(B36,Lookup!$A$2:$G$7,5,FALSE)</f>
        <v>9.1</v>
      </c>
      <c r="N36">
        <f>VLOOKUP(B36,Lookup!$A$2:$G$7,6,FALSE)</f>
        <v>39</v>
      </c>
      <c r="O36">
        <f>VLOOKUP(B36,Lookup!$A$2:$G$7,7,FALSE)</f>
        <v>1.2</v>
      </c>
      <c r="P36">
        <f>IF(AND(ISNUMBER(N36),ISNUMBER(O36)),N36/O36,"TBC")</f>
        <v>32.5</v>
      </c>
      <c r="Q36">
        <f>IF(AND(ISNUMBER(N36),ISNUMBER(O36),ISNUMBER(M36)),((N36/O36)-M36)/(N36/O36),"TBC")</f>
        <v>0.72</v>
      </c>
      <c r="R36" t="inlineStr">
        <is>
          <t>Re:Born Reversible Cashmere Beanie, Baby Pink And Cream, O/S</t>
        </is>
      </c>
    </row>
    <row r="37">
      <c r="A37" t="inlineStr">
        <is>
          <t>900231ZZPYPP0000</t>
        </is>
      </c>
      <c r="B37">
        <f>VALUE(LEFT(A37,6))</f>
        <v>900231</v>
      </c>
      <c r="C37" t="str">
        <f>MID(A37,9,4)</f>
        <v>PYPP</v>
      </c>
      <c r="D37" t="str">
        <f>B37&amp;C37</f>
        <v>900231PYPP</v>
      </c>
      <c r="E37" t="str">
        <f>VLOOKUP(B37,Lookup!$A$2:$G$7,2,FALSE)</f>
        <v>Reversible Beanie</v>
      </c>
      <c r="F37" t="str">
        <f>VLOOKUP(B37,Lookup!$A$2:$G$7,3,FALSE)</f>
        <v>Cashmere</v>
      </c>
      <c r="G37" t="str">
        <f>"Cashmere "&amp;E37</f>
        <v>Cashmere Reversible Beanie</v>
      </c>
      <c r="H37" s="35" t="inlineStr">
        <is>
          <t>TBC</t>
        </is>
      </c>
      <c r="I37" t="str">
        <f>TRIM(MID(R37,FIND(",",R37)+1,FIND(",",R37,FIND(",",R37)+1)-FIND(",",R37)-1))</f>
        <v>Purple And Yellow</v>
      </c>
      <c r="J37" t="inlineStr">
        <is>
          <t>One Size</t>
        </is>
      </c>
      <c r="K37" t="str">
        <f>VLOOKUP(B37,Lookup!$A$2:$G$7,4,FALSE)&amp;", "&amp;I37&amp;", O/S"</f>
        <v>Re:Born Reversible Cashmere Beanie, Purple And Yellow, O/S</v>
      </c>
      <c r="L37" t="n">
        <v>7</v>
      </c>
      <c r="M37">
        <f>VLOOKUP(B37,Lookup!$A$2:$G$7,5,FALSE)</f>
        <v>9.1</v>
      </c>
      <c r="N37">
        <f>VLOOKUP(B37,Lookup!$A$2:$G$7,6,FALSE)</f>
        <v>39</v>
      </c>
      <c r="O37">
        <f>VLOOKUP(B37,Lookup!$A$2:$G$7,7,FALSE)</f>
        <v>1.2</v>
      </c>
      <c r="P37">
        <f>IF(AND(ISNUMBER(N37),ISNUMBER(O37)),N37/O37,"TBC")</f>
        <v>32.5</v>
      </c>
      <c r="Q37">
        <f>IF(AND(ISNUMBER(N37),ISNUMBER(O37),ISNUMBER(M37)),((N37/O37)-M37)/(N37/O37),"TBC")</f>
        <v>0.72</v>
      </c>
      <c r="R37" t="inlineStr">
        <is>
          <t>Re:Born Reversible Cashmere Beanie, Purple And Yellow, O/S</t>
        </is>
      </c>
    </row>
    <row r="38">
      <c r="A38" t="inlineStr">
        <is>
          <t>900231ZZREAR0000</t>
        </is>
      </c>
      <c r="B38">
        <f>VALUE(LEFT(A38,6))</f>
        <v>900231</v>
      </c>
      <c r="C38" t="str">
        <f>MID(A38,9,4)</f>
        <v>REAR</v>
      </c>
      <c r="D38" t="str">
        <f>B38&amp;C38</f>
        <v>900231REAR</v>
      </c>
      <c r="E38" t="str">
        <f>VLOOKUP(B38,Lookup!$A$2:$G$7,2,FALSE)</f>
        <v>Reversible Beanie</v>
      </c>
      <c r="F38" t="str">
        <f>VLOOKUP(B38,Lookup!$A$2:$G$7,3,FALSE)</f>
        <v>Cashmere</v>
      </c>
      <c r="G38" t="str">
        <f>"Cashmere "&amp;E38</f>
        <v>Cashmere Reversible Beanie</v>
      </c>
      <c r="H38" s="35" t="inlineStr">
        <is>
          <t>TBC</t>
        </is>
      </c>
      <c r="I38" t="str">
        <f>TRIM(MID(R38,FIND(",",R38)+1,FIND(",",R38,FIND(",",R38)+1)-FIND(",",R38)-1))</f>
        <v>Red And Beige</v>
      </c>
      <c r="J38" t="inlineStr">
        <is>
          <t>One Size</t>
        </is>
      </c>
      <c r="K38" t="str">
        <f>VLOOKUP(B38,Lookup!$A$2:$G$7,4,FALSE)&amp;", "&amp;I38&amp;", O/S"</f>
        <v>Re:Born Reversible Cashmere Beanie, Red And Beige, O/S</v>
      </c>
      <c r="L38" t="n">
        <v>26</v>
      </c>
      <c r="M38">
        <f>VLOOKUP(B38,Lookup!$A$2:$G$7,5,FALSE)</f>
        <v>9.1</v>
      </c>
      <c r="N38">
        <f>VLOOKUP(B38,Lookup!$A$2:$G$7,6,FALSE)</f>
        <v>39</v>
      </c>
      <c r="O38">
        <f>VLOOKUP(B38,Lookup!$A$2:$G$7,7,FALSE)</f>
        <v>1.2</v>
      </c>
      <c r="P38">
        <f>IF(AND(ISNUMBER(N38),ISNUMBER(O38)),N38/O38,"TBC")</f>
        <v>32.5</v>
      </c>
      <c r="Q38">
        <f>IF(AND(ISNUMBER(N38),ISNUMBER(O38),ISNUMBER(M38)),((N38/O38)-M38)/(N38/O38),"TBC")</f>
        <v>0.72</v>
      </c>
      <c r="R38" t="inlineStr">
        <is>
          <t>Re:Born Reversible Cashmere Beanie, Red And Beige, O/S</t>
        </is>
      </c>
    </row>
    <row r="39">
      <c r="A39" t="inlineStr">
        <is>
          <t>900232ZZBBRA0000</t>
        </is>
      </c>
      <c r="B39">
        <f>VALUE(LEFT(A39,6))</f>
        <v>900232</v>
      </c>
      <c r="C39" t="str">
        <f>MID(A39,9,4)</f>
        <v>BBRA</v>
      </c>
      <c r="D39" t="str">
        <f>B39&amp;C39</f>
        <v>900232BBRA</v>
      </c>
      <c r="E39" t="str">
        <f>VLOOKUP(B39,Lookup!$A$2:$G$7,2,FALSE)</f>
        <v>Reversible Snood</v>
      </c>
      <c r="F39" t="str">
        <f>VLOOKUP(B39,Lookup!$A$2:$G$7,3,FALSE)</f>
        <v>Cashmere</v>
      </c>
      <c r="G39" t="str">
        <f>"Cashmere "&amp;E39</f>
        <v>Cashmere Reversible Snood</v>
      </c>
      <c r="H39" s="35" t="inlineStr">
        <is>
          <t>TBC</t>
        </is>
      </c>
      <c r="I39" t="str">
        <f>TRIM(MID(R39,FIND(",",R39)+1,FIND(",",R39,FIND(",",R39)+1)-FIND(",",R39)-1))</f>
        <v>Beige And Brown</v>
      </c>
      <c r="J39" t="inlineStr">
        <is>
          <t>One Size</t>
        </is>
      </c>
      <c r="K39" t="str">
        <f>VLOOKUP(B39,Lookup!$A$2:$G$7,4,FALSE)&amp;", "&amp;I39&amp;", O/S"</f>
        <v>Re:Born Reversible Cashmere Snood, Beige And Brown, O/S</v>
      </c>
      <c r="L39" t="n">
        <v>10</v>
      </c>
      <c r="M39">
        <f>VLOOKUP(B39,Lookup!$A$2:$G$7,5,FALSE)</f>
        <v>9.1</v>
      </c>
      <c r="N39">
        <f>VLOOKUP(B39,Lookup!$A$2:$G$7,6,FALSE)</f>
        <v>42</v>
      </c>
      <c r="O39">
        <f>VLOOKUP(B39,Lookup!$A$2:$G$7,7,FALSE)</f>
        <v>1.2</v>
      </c>
      <c r="P39">
        <f>IF(AND(ISNUMBER(N39),ISNUMBER(O39)),N39/O39,"TBC")</f>
        <v>35.0</v>
      </c>
      <c r="Q39">
        <f>IF(AND(ISNUMBER(N39),ISNUMBER(O39),ISNUMBER(M39)),((N39/O39)-M39)/(N39/O39),"TBC")</f>
        <v>0.74</v>
      </c>
      <c r="R39" t="inlineStr">
        <is>
          <t>Re:Born Reversible Cashmere Snood, Beige And Brown, O/S</t>
        </is>
      </c>
    </row>
    <row r="40">
      <c r="A40" t="inlineStr">
        <is>
          <t>900232ZZBGAA0000</t>
        </is>
      </c>
      <c r="B40">
        <f>VALUE(LEFT(A40,6))</f>
        <v>900232</v>
      </c>
      <c r="C40" t="str">
        <f>MID(A40,9,4)</f>
        <v>BGAA</v>
      </c>
      <c r="D40" t="str">
        <f>B40&amp;C40</f>
        <v>900232BGAA</v>
      </c>
      <c r="E40" t="str">
        <f>VLOOKUP(B40,Lookup!$A$2:$G$7,2,FALSE)</f>
        <v>Reversible Snood</v>
      </c>
      <c r="F40" t="str">
        <f>VLOOKUP(B40,Lookup!$A$2:$G$7,3,FALSE)</f>
        <v>Cashmere</v>
      </c>
      <c r="G40" t="str">
        <f>"Cashmere "&amp;E40</f>
        <v>Cashmere Reversible Snood</v>
      </c>
      <c r="H40" s="35" t="inlineStr">
        <is>
          <t>TBC</t>
        </is>
      </c>
      <c r="I40" t="str">
        <f>TRIM(MID(R40,FIND(",",R40)+1,FIND(",",R40,FIND(",",R40)+1)-FIND(",",R40)-1))</f>
        <v>Black And Dark Grey</v>
      </c>
      <c r="J40" t="inlineStr">
        <is>
          <t>One Size</t>
        </is>
      </c>
      <c r="K40" t="str">
        <f>VLOOKUP(B40,Lookup!$A$2:$G$7,4,FALSE)&amp;", "&amp;I40&amp;", O/S"</f>
        <v>Re:Born Reversible Cashmere Snood, Black And Dark Grey, O/S</v>
      </c>
      <c r="L40" t="n">
        <v>11</v>
      </c>
      <c r="M40">
        <f>VLOOKUP(B40,Lookup!$A$2:$G$7,5,FALSE)</f>
        <v>9.1</v>
      </c>
      <c r="N40">
        <f>VLOOKUP(B40,Lookup!$A$2:$G$7,6,FALSE)</f>
        <v>42</v>
      </c>
      <c r="O40">
        <f>VLOOKUP(B40,Lookup!$A$2:$G$7,7,FALSE)</f>
        <v>1.2</v>
      </c>
      <c r="P40">
        <f>IF(AND(ISNUMBER(N40),ISNUMBER(O40)),N40/O40,"TBC")</f>
        <v>35.0</v>
      </c>
      <c r="Q40">
        <f>IF(AND(ISNUMBER(N40),ISNUMBER(O40),ISNUMBER(M40)),((N40/O40)-M40)/(N40/O40),"TBC")</f>
        <v>0.74</v>
      </c>
      <c r="R40" t="inlineStr">
        <is>
          <t>Re:Born Reversible Cashmere Snood, Black And Dark Grey, O/S</t>
        </is>
      </c>
    </row>
    <row r="41">
      <c r="A41" t="inlineStr">
        <is>
          <t>900232ZZBLCK0000</t>
        </is>
      </c>
      <c r="B41">
        <f>VALUE(LEFT(A41,6))</f>
        <v>900232</v>
      </c>
      <c r="C41" t="str">
        <f>MID(A41,9,4)</f>
        <v>BLCK</v>
      </c>
      <c r="D41" t="str">
        <f>B41&amp;C41</f>
        <v>900232BLCK</v>
      </c>
      <c r="E41" t="str">
        <f>VLOOKUP(B41,Lookup!$A$2:$G$7,2,FALSE)</f>
        <v>Reversible Snood</v>
      </c>
      <c r="F41" t="str">
        <f>VLOOKUP(B41,Lookup!$A$2:$G$7,3,FALSE)</f>
        <v>Cashmere</v>
      </c>
      <c r="G41" t="str">
        <f>"Cashmere "&amp;E41</f>
        <v>Cashmere Reversible Snood</v>
      </c>
      <c r="H41" s="35" t="inlineStr">
        <is>
          <t>TBC</t>
        </is>
      </c>
      <c r="I41" t="str">
        <f>TRIM(MID(R41,FIND(",",R41)+1,FIND(",",R41,FIND(",",R41)+1)-FIND(",",R41)-1))</f>
        <v>Black</v>
      </c>
      <c r="J41" t="inlineStr">
        <is>
          <t>One Size</t>
        </is>
      </c>
      <c r="K41" t="str">
        <f>VLOOKUP(B41,Lookup!$A$2:$G$7,4,FALSE)&amp;", "&amp;I41&amp;", O/S"</f>
        <v>Re:Born Reversible Cashmere Snood, Black, O/S</v>
      </c>
      <c r="L41" t="n">
        <v>128</v>
      </c>
      <c r="M41">
        <f>VLOOKUP(B41,Lookup!$A$2:$G$7,5,FALSE)</f>
        <v>9.1</v>
      </c>
      <c r="N41">
        <f>VLOOKUP(B41,Lookup!$A$2:$G$7,6,FALSE)</f>
        <v>42</v>
      </c>
      <c r="O41">
        <f>VLOOKUP(B41,Lookup!$A$2:$G$7,7,FALSE)</f>
        <v>1.2</v>
      </c>
      <c r="P41">
        <f>IF(AND(ISNUMBER(N41),ISNUMBER(O41)),N41/O41,"TBC")</f>
        <v>35.0</v>
      </c>
      <c r="Q41">
        <f>IF(AND(ISNUMBER(N41),ISNUMBER(O41),ISNUMBER(M41)),((N41/O41)-M41)/(N41/O41),"TBC")</f>
        <v>0.74</v>
      </c>
      <c r="R41" t="inlineStr">
        <is>
          <t>Re:Born Reversible Cashmere Snood, Black, O/S</t>
        </is>
      </c>
    </row>
    <row r="42">
      <c r="A42" t="inlineStr">
        <is>
          <t>900232ZZLBAA0000</t>
        </is>
      </c>
      <c r="B42">
        <f>VALUE(LEFT(A42,6))</f>
        <v>900232</v>
      </c>
      <c r="C42" t="str">
        <f>MID(A42,9,4)</f>
        <v>LBAA</v>
      </c>
      <c r="D42" t="str">
        <f>B42&amp;C42</f>
        <v>900232LBAA</v>
      </c>
      <c r="E42" t="str">
        <f>VLOOKUP(B42,Lookup!$A$2:$G$7,2,FALSE)</f>
        <v>Reversible Snood</v>
      </c>
      <c r="F42" t="str">
        <f>VLOOKUP(B42,Lookup!$A$2:$G$7,3,FALSE)</f>
        <v>Cashmere</v>
      </c>
      <c r="G42" t="str">
        <f>"Cashmere "&amp;E42</f>
        <v>Cashmere Reversible Snood</v>
      </c>
      <c r="H42" s="35" t="inlineStr">
        <is>
          <t>TBC</t>
        </is>
      </c>
      <c r="I42" t="str">
        <f>TRIM(MID(R42,FIND(",",R42)+1,FIND(",",R42,FIND(",",R42)+1)-FIND(",",R42)-1))</f>
        <v>Light Grey And Black</v>
      </c>
      <c r="J42" t="inlineStr">
        <is>
          <t>One Size</t>
        </is>
      </c>
      <c r="K42" t="str">
        <f>VLOOKUP(B42,Lookup!$A$2:$G$7,4,FALSE)&amp;", "&amp;I42&amp;", O/S"</f>
        <v>Re:Born Reversible Cashmere Snood, Light Grey And Black, O/S</v>
      </c>
      <c r="L42" t="n">
        <v>138</v>
      </c>
      <c r="M42">
        <f>VLOOKUP(B42,Lookup!$A$2:$G$7,5,FALSE)</f>
        <v>9.1</v>
      </c>
      <c r="N42">
        <f>VLOOKUP(B42,Lookup!$A$2:$G$7,6,FALSE)</f>
        <v>42</v>
      </c>
      <c r="O42">
        <f>VLOOKUP(B42,Lookup!$A$2:$G$7,7,FALSE)</f>
        <v>1.2</v>
      </c>
      <c r="P42">
        <f>IF(AND(ISNUMBER(N42),ISNUMBER(O42)),N42/O42,"TBC")</f>
        <v>35.0</v>
      </c>
      <c r="Q42">
        <f>IF(AND(ISNUMBER(N42),ISNUMBER(O42),ISNUMBER(M42)),((N42/O42)-M42)/(N42/O42),"TBC")</f>
        <v>0.74</v>
      </c>
      <c r="R42" t="inlineStr">
        <is>
          <t>Re:Born Reversible Cashmere Snood, Light Grey And Black, O/S</t>
        </is>
      </c>
    </row>
    <row r="43">
      <c r="A43" t="inlineStr">
        <is>
          <t>900232ZZMGAA0000</t>
        </is>
      </c>
      <c r="B43">
        <f>VALUE(LEFT(A43,6))</f>
        <v>900232</v>
      </c>
      <c r="C43" t="str">
        <f>MID(A43,9,4)</f>
        <v>MGAA</v>
      </c>
      <c r="D43" t="str">
        <f>B43&amp;C43</f>
        <v>900232MGAA</v>
      </c>
      <c r="E43" t="str">
        <f>VLOOKUP(B43,Lookup!$A$2:$G$7,2,FALSE)</f>
        <v>Reversible Snood</v>
      </c>
      <c r="F43" t="str">
        <f>VLOOKUP(B43,Lookup!$A$2:$G$7,3,FALSE)</f>
        <v>Cashmere</v>
      </c>
      <c r="G43" t="str">
        <f>"Cashmere "&amp;E43</f>
        <v>Cashmere Reversible Snood</v>
      </c>
      <c r="H43" s="35" t="inlineStr">
        <is>
          <t>TBC</t>
        </is>
      </c>
      <c r="I43" t="str">
        <f>TRIM(MID(R43,FIND(",",R43)+1,FIND(",",R43,FIND(",",R43)+1)-FIND(",",R43)-1))</f>
        <v>Maroon And Dark Grey</v>
      </c>
      <c r="J43" t="inlineStr">
        <is>
          <t>One Size</t>
        </is>
      </c>
      <c r="K43" t="str">
        <f>VLOOKUP(B43,Lookup!$A$2:$G$7,4,FALSE)&amp;", "&amp;I43&amp;", O/S"</f>
        <v>Re:Born Reversible Cashmere Snood, Maroon And Dark Grey, O/S</v>
      </c>
      <c r="L43" t="n">
        <v>10</v>
      </c>
      <c r="M43">
        <f>VLOOKUP(B43,Lookup!$A$2:$G$7,5,FALSE)</f>
        <v>9.1</v>
      </c>
      <c r="N43">
        <f>VLOOKUP(B43,Lookup!$A$2:$G$7,6,FALSE)</f>
        <v>42</v>
      </c>
      <c r="O43">
        <f>VLOOKUP(B43,Lookup!$A$2:$G$7,7,FALSE)</f>
        <v>1.2</v>
      </c>
      <c r="P43">
        <f>IF(AND(ISNUMBER(N43),ISNUMBER(O43)),N43/O43,"TBC")</f>
        <v>35.0</v>
      </c>
      <c r="Q43">
        <f>IF(AND(ISNUMBER(N43),ISNUMBER(O43),ISNUMBER(M43)),((N43/O43)-M43)/(N43/O43),"TBC")</f>
        <v>0.74</v>
      </c>
      <c r="R43" t="inlineStr">
        <is>
          <t>Re:Born Reversible Cashmere Snood, Maroon And Dark Grey, O/S</t>
        </is>
      </c>
    </row>
    <row r="44">
      <c r="A44" t="inlineStr">
        <is>
          <t>900232ZZRCCC0000</t>
        </is>
      </c>
      <c r="B44">
        <f>VALUE(LEFT(A44,6))</f>
        <v>900232</v>
      </c>
      <c r="C44" t="str">
        <f>MID(A44,9,4)</f>
        <v>RCCC</v>
      </c>
      <c r="D44" t="str">
        <f>B44&amp;C44</f>
        <v>900232RCCC</v>
      </c>
      <c r="E44" t="str">
        <f>VLOOKUP(B44,Lookup!$A$2:$G$7,2,FALSE)</f>
        <v>Reversible Snood</v>
      </c>
      <c r="F44" t="str">
        <f>VLOOKUP(B44,Lookup!$A$2:$G$7,3,FALSE)</f>
        <v>Cashmere</v>
      </c>
      <c r="G44" t="str">
        <f>"Cashmere "&amp;E44</f>
        <v>Cashmere Reversible Snood</v>
      </c>
      <c r="H44" s="35" t="inlineStr">
        <is>
          <t>TBC</t>
        </is>
      </c>
      <c r="I44" t="str">
        <f>TRIM(MID(R44,FIND(",",R44)+1,FIND(",",R44,FIND(",",R44)+1)-FIND(",",R44)-1))</f>
        <v>Red And Cream</v>
      </c>
      <c r="J44" t="inlineStr">
        <is>
          <t>One Size</t>
        </is>
      </c>
      <c r="K44" t="str">
        <f>VLOOKUP(B44,Lookup!$A$2:$G$7,4,FALSE)&amp;", "&amp;I44&amp;", O/S"</f>
        <v>Re:Born Reversible Cashmere Snood, Red And Cream, O/S</v>
      </c>
      <c r="L44" t="n">
        <v>34</v>
      </c>
      <c r="M44">
        <f>VLOOKUP(B44,Lookup!$A$2:$G$7,5,FALSE)</f>
        <v>9.1</v>
      </c>
      <c r="N44">
        <f>VLOOKUP(B44,Lookup!$A$2:$G$7,6,FALSE)</f>
        <v>42</v>
      </c>
      <c r="O44">
        <f>VLOOKUP(B44,Lookup!$A$2:$G$7,7,FALSE)</f>
        <v>1.2</v>
      </c>
      <c r="P44">
        <f>IF(AND(ISNUMBER(N44),ISNUMBER(O44)),N44/O44,"TBC")</f>
        <v>35.0</v>
      </c>
      <c r="Q44">
        <f>IF(AND(ISNUMBER(N44),ISNUMBER(O44),ISNUMBER(M44)),((N44/O44)-M44)/(N44/O44),"TBC")</f>
        <v>0.74</v>
      </c>
      <c r="R44" t="inlineStr">
        <is>
          <t>Re:Born Reversible Cashmere Snood, Red And Cream, O/S</t>
        </is>
      </c>
    </row>
    <row r="45">
      <c r="A45" t="inlineStr">
        <is>
          <t>900233ZZNRAN0000</t>
        </is>
      </c>
      <c r="B45">
        <f>VALUE(LEFT(A45,6))</f>
        <v>900233</v>
      </c>
      <c r="C45" t="str">
        <f>MID(A45,9,4)</f>
        <v>NRAN</v>
      </c>
      <c r="D45" t="str">
        <f>B45&amp;C45</f>
        <v>900233NRAN</v>
      </c>
      <c r="E45" t="str">
        <f>VLOOKUP(B45,Lookup!$A$2:$G$7,2,FALSE)</f>
        <v>Snood &amp; Glove Set</v>
      </c>
      <c r="F45" t="str">
        <f>VLOOKUP(B45,Lookup!$A$2:$G$7,3,FALSE)</f>
        <v>Cashmere</v>
      </c>
      <c r="G45" t="str">
        <f>"Cashmere "&amp;E45</f>
        <v>Cashmere Snood &amp; Glove Set</v>
      </c>
      <c r="H45" s="35" t="inlineStr">
        <is>
          <t>TBC</t>
        </is>
      </c>
      <c r="I45" t="str">
        <f>TRIM(MID(R45,FIND(",",R45)+1,FIND(",",R45,FIND(",",R45)+1)-FIND(",",R45)-1))</f>
        <v>Navy/Red and Grey</v>
      </c>
      <c r="J45" t="inlineStr">
        <is>
          <t>One Size</t>
        </is>
      </c>
      <c r="K45" t="str">
        <f>VLOOKUP(B45,Lookup!$A$2:$G$7,4,FALSE)&amp;", "&amp;I45&amp;", O/S"</f>
        <v>Re:Born Snood &amp; Glove Set, Navy/Red and Grey, O/S</v>
      </c>
      <c r="L45" t="n">
        <v>35</v>
      </c>
      <c r="M45">
        <f>VLOOKUP(B45,Lookup!$A$2:$G$7,5,FALSE)</f>
        <v>17.2</v>
      </c>
      <c r="N45" t="str">
        <f>VLOOKUP(B45,Lookup!$A$2:$G$7,6,FALSE)</f>
        <v>TBC</v>
      </c>
      <c r="O45">
        <f>VLOOKUP(B45,Lookup!$A$2:$G$7,7,FALSE)</f>
        <v>1.2</v>
      </c>
      <c r="P45" t="str">
        <f>IF(AND(ISNUMBER(N45),ISNUMBER(O45)),N45/O45,"TBC")</f>
        <v>TBC</v>
      </c>
      <c r="Q45" t="str">
        <f>IF(AND(ISNUMBER(N45),ISNUMBER(O45),ISNUMBER(M45)),((N45/O45)-M45)/(N45/O45),"TBC")</f>
        <v>TBC</v>
      </c>
      <c r="R45" t="inlineStr">
        <is>
          <t>Re:Born Snood &amp; Glove Set, Navy/Red and Grey, O/S</t>
        </is>
      </c>
    </row>
    <row r="46">
      <c r="A46" t="inlineStr">
        <is>
          <t>900236ZZGRRR0000</t>
        </is>
      </c>
      <c r="B46">
        <f>VALUE(LEFT(A46,6))</f>
        <v>900236</v>
      </c>
      <c r="C46" t="str">
        <f>MID(A46,9,4)</f>
        <v>GRRR</v>
      </c>
      <c r="D46" t="str">
        <f>B46&amp;C46</f>
        <v>900236GRRR</v>
      </c>
      <c r="E46" t="str">
        <f>VLOOKUP(B46,Lookup!$A$2:$G$7,2,FALSE)</f>
        <v>Fingerless Gloves</v>
      </c>
      <c r="F46" t="str">
        <f>VLOOKUP(B46,Lookup!$A$2:$G$7,3,FALSE)</f>
        <v>Cashmere</v>
      </c>
      <c r="G46" t="str">
        <f>"Cashmere "&amp;E46</f>
        <v>Cashmere Fingerless Gloves</v>
      </c>
      <c r="H46" s="35" t="inlineStr">
        <is>
          <t>TBC</t>
        </is>
      </c>
      <c r="I46" t="str">
        <f>TRIM(MID(R46,FIND(",",R46)+1,FIND(",",R46,FIND(",",R46)+1)-FIND(",",R46)-1))</f>
        <v>Grape Purple</v>
      </c>
      <c r="J46" t="inlineStr">
        <is>
          <t>One Size</t>
        </is>
      </c>
      <c r="K46" t="str">
        <f>VLOOKUP(B46,Lookup!$A$2:$G$7,4,FALSE)&amp;", "&amp;I46&amp;", O/S"</f>
        <v>Re:Born Cashmere Fingerless Gloves, Grape Purple, O/S</v>
      </c>
      <c r="L46" t="n">
        <v>277</v>
      </c>
      <c r="M46">
        <f>VLOOKUP(B46,Lookup!$A$2:$G$7,5,FALSE)</f>
        <v>8.2</v>
      </c>
      <c r="N46">
        <f>VLOOKUP(B46,Lookup!$A$2:$G$7,6,FALSE)</f>
        <v>39</v>
      </c>
      <c r="O46">
        <f>VLOOKUP(B46,Lookup!$A$2:$G$7,7,FALSE)</f>
        <v>1.2</v>
      </c>
      <c r="P46">
        <f>IF(AND(ISNUMBER(N46),ISNUMBER(O46)),N46/O46,"TBC")</f>
        <v>32.5</v>
      </c>
      <c r="Q46">
        <f>IF(AND(ISNUMBER(N46),ISNUMBER(O46),ISNUMBER(M46)),((N46/O46)-M46)/(N46/O46),"TBC")</f>
        <v>0.7476923076923078</v>
      </c>
      <c r="R46" t="inlineStr">
        <is>
          <t>Re:Born Cashmere Fingerless Gloves, Grape Purple, O/S</t>
        </is>
      </c>
    </row>
    <row r="47">
      <c r="A47" t="inlineStr">
        <is>
          <t>900236ZZDKPU0000</t>
        </is>
      </c>
      <c r="B47">
        <f>VALUE(LEFT(A47,6))</f>
        <v>900236</v>
      </c>
      <c r="C47" t="str">
        <f>MID(A47,9,4)</f>
        <v>DKPU</v>
      </c>
      <c r="D47" t="str">
        <f>B47&amp;C47</f>
        <v>900236DKPU</v>
      </c>
      <c r="E47" t="str">
        <f>VLOOKUP(B47,Lookup!$A$2:$G$7,2,FALSE)</f>
        <v>Fingerless Gloves</v>
      </c>
      <c r="F47" t="str">
        <f>VLOOKUP(B47,Lookup!$A$2:$G$7,3,FALSE)</f>
        <v>Cashmere</v>
      </c>
      <c r="G47" t="str">
        <f>"Cashmere "&amp;E47</f>
        <v>Cashmere Fingerless Gloves</v>
      </c>
      <c r="H47" s="35" t="inlineStr">
        <is>
          <t>TBC</t>
        </is>
      </c>
      <c r="I47" t="str">
        <f>TRIM(MID(R47,FIND(",",R47)+1,FIND(",",R47,FIND(",",R47)+1)-FIND(",",R47)-1))</f>
        <v>Dark Purple</v>
      </c>
      <c r="J47" t="inlineStr">
        <is>
          <t>One Size</t>
        </is>
      </c>
      <c r="K47" t="str">
        <f>VLOOKUP(B47,Lookup!$A$2:$G$7,4,FALSE)&amp;", "&amp;I47&amp;", O/S"</f>
        <v>Re:Born Cashmere Fingerless Gloves, Dark Purple, O/S</v>
      </c>
      <c r="L47" t="n">
        <v>230</v>
      </c>
      <c r="M47">
        <f>VLOOKUP(B47,Lookup!$A$2:$G$7,5,FALSE)</f>
        <v>8.2</v>
      </c>
      <c r="N47">
        <f>VLOOKUP(B47,Lookup!$A$2:$G$7,6,FALSE)</f>
        <v>39</v>
      </c>
      <c r="O47">
        <f>VLOOKUP(B47,Lookup!$A$2:$G$7,7,FALSE)</f>
        <v>1.2</v>
      </c>
      <c r="P47">
        <f>IF(AND(ISNUMBER(N47),ISNUMBER(O47)),N47/O47,"TBC")</f>
        <v>32.5</v>
      </c>
      <c r="Q47">
        <f>IF(AND(ISNUMBER(N47),ISNUMBER(O47),ISNUMBER(M47)),((N47/O47)-M47)/(N47/O47),"TBC")</f>
        <v>0.7476923076923078</v>
      </c>
      <c r="R47" t="inlineStr">
        <is>
          <t>Re:Born Cashmere Fingerless Gloves, Dark Purple, O/S</t>
        </is>
      </c>
    </row>
    <row r="48" customFormat="1" s="1">
      <c r="A48" t="inlineStr">
        <is>
          <t>900236ZZOCAA0000</t>
        </is>
      </c>
      <c r="B48">
        <f>VALUE(LEFT(A48,6))</f>
        <v>900236</v>
      </c>
      <c r="C48" t="str">
        <f>MID(A48,9,4)</f>
        <v>OCAA</v>
      </c>
      <c r="D48" s="1" t="str">
        <f>B48&amp;C48</f>
        <v>900236OCAA</v>
      </c>
      <c r="E48" s="1" t="str">
        <f>VLOOKUP(B48,Lookup!$A$2:$G$7,2,FALSE)</f>
        <v>Fingerless Gloves</v>
      </c>
      <c r="F48" s="1" t="str">
        <f>VLOOKUP(B48,Lookup!$A$2:$G$7,3,FALSE)</f>
        <v>Cashmere</v>
      </c>
      <c r="G48" s="1" t="str">
        <f>"Cashmere "&amp;E48</f>
        <v>Cashmere Fingerless Gloves</v>
      </c>
      <c r="H48" s="36" t="inlineStr">
        <is>
          <t>TBC</t>
        </is>
      </c>
      <c r="I48" s="1" t="str">
        <f>TRIM(MID(R48,FIND(",",R48)+1,FIND(",",R48,FIND(",",R48)+1)-FIND(",",R48)-1))</f>
        <v>Ocean Green</v>
      </c>
      <c r="J48" s="1" t="inlineStr">
        <is>
          <t>One Size</t>
        </is>
      </c>
      <c r="K48" t="str">
        <f>VLOOKUP(B48,Lookup!$A$2:$G$7,4,FALSE)&amp;", "&amp;I48&amp;", O/S"</f>
        <v>Re:Born Cashmere Fingerless Gloves, Ocean Green, O/S</v>
      </c>
      <c r="L48" t="n">
        <v>229</v>
      </c>
      <c r="M48" s="1">
        <f>VLOOKUP(B48,Lookup!$A$2:$G$7,5,FALSE)</f>
        <v>8.2</v>
      </c>
      <c r="N48" s="1">
        <f>VLOOKUP(B48,Lookup!$A$2:$G$7,6,FALSE)</f>
        <v>39</v>
      </c>
      <c r="O48" s="1">
        <f>VLOOKUP(B48,Lookup!$A$2:$G$7,7,FALSE)</f>
        <v>1.2</v>
      </c>
      <c r="P48" s="1">
        <f>IF(AND(ISNUMBER(N48),ISNUMBER(O48)),N48/O48,"TBC")</f>
        <v>32.5</v>
      </c>
      <c r="Q48" s="1">
        <f>IF(AND(ISNUMBER(N48),ISNUMBER(O48),ISNUMBER(M48)),((N48/O48)-M48)/(N48/O48),"TBC")</f>
        <v>0.7476923076923078</v>
      </c>
      <c r="R48" s="1" t="inlineStr">
        <is>
          <t>Re:Born Cashmere Fingerless Gloves, Ocean Green, O/S</t>
        </is>
      </c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</row>
    <row r="49" customFormat="1" s="1">
      <c r="A49" t="inlineStr">
        <is>
          <t>900236ZZBABB0000</t>
        </is>
      </c>
      <c r="B49">
        <f>VALUE(LEFT(A49,6))</f>
        <v>900236</v>
      </c>
      <c r="C49" t="str">
        <f>MID(A49,9,4)</f>
        <v>BABB</v>
      </c>
      <c r="D49" t="str">
        <f>B49&amp;C49</f>
        <v>900236BABB</v>
      </c>
      <c r="E49" t="str">
        <f>VLOOKUP(B49,Lookup!$A$2:$G$7,2,FALSE)</f>
        <v>Fingerless Gloves</v>
      </c>
      <c r="F49" t="str">
        <f>VLOOKUP(B49,Lookup!$A$2:$G$7,3,FALSE)</f>
        <v>Cashmere</v>
      </c>
      <c r="G49" t="str">
        <f>"Cashmere "&amp;E49</f>
        <v>Cashmere Fingerless Gloves</v>
      </c>
      <c r="H49" s="35" t="inlineStr">
        <is>
          <t>TBC</t>
        </is>
      </c>
      <c r="I49" t="str">
        <f>TRIM(MID(R49,FIND(",",R49)+1,FIND(",",R49,FIND(",",R49)+1)-FIND(",",R49)-1))</f>
        <v>Baby Blue</v>
      </c>
      <c r="J49" t="inlineStr">
        <is>
          <t>One Size</t>
        </is>
      </c>
      <c r="K49" t="str">
        <f>VLOOKUP(B49,Lookup!$A$2:$G$7,4,FALSE)&amp;", "&amp;I49&amp;", O/S"</f>
        <v>Re:Born Cashmere Fingerless Gloves, Baby Blue, O/S</v>
      </c>
      <c r="L49" t="n">
        <v>161</v>
      </c>
      <c r="M49">
        <f>VLOOKUP(B49,Lookup!$A$2:$G$7,5,FALSE)</f>
        <v>8.2</v>
      </c>
      <c r="N49">
        <f>VLOOKUP(B49,Lookup!$A$2:$G$7,6,FALSE)</f>
        <v>39</v>
      </c>
      <c r="O49">
        <f>VLOOKUP(B49,Lookup!$A$2:$G$7,7,FALSE)</f>
        <v>1.2</v>
      </c>
      <c r="P49">
        <f>IF(AND(ISNUMBER(N49),ISNUMBER(O49)),N49/O49,"TBC")</f>
        <v>32.5</v>
      </c>
      <c r="Q49">
        <f>IF(AND(ISNUMBER(N49),ISNUMBER(O49),ISNUMBER(M49)),((N49/O49)-M49)/(N49/O49),"TBC")</f>
        <v>0.7476923076923078</v>
      </c>
      <c r="R49" t="inlineStr">
        <is>
          <t>Re:Born Cashmere Fingerless Gloves, Baby Blue, O/S</t>
        </is>
      </c>
    </row>
    <row r="50" customFormat="1" s="1">
      <c r="A50" t="inlineStr">
        <is>
          <t>900236ZZAAAI0000</t>
        </is>
      </c>
      <c r="B50">
        <f>VALUE(LEFT(A50,6))</f>
        <v>900236</v>
      </c>
      <c r="C50" t="str">
        <f>MID(A50,9,4)</f>
        <v>AAAI</v>
      </c>
      <c r="D50" t="str">
        <f>B50&amp;C50</f>
        <v>900236AAAI</v>
      </c>
      <c r="E50" t="str">
        <f>VLOOKUP(B50,Lookup!$A$2:$G$7,2,FALSE)</f>
        <v>Fingerless Gloves</v>
      </c>
      <c r="F50" t="str">
        <f>VLOOKUP(B50,Lookup!$A$2:$G$7,3,FALSE)</f>
        <v>Cashmere</v>
      </c>
      <c r="G50" t="str">
        <f>"Cashmere "&amp;E50</f>
        <v>Cashmere Fingerless Gloves</v>
      </c>
      <c r="H50" s="35" t="inlineStr">
        <is>
          <t>TBC</t>
        </is>
      </c>
      <c r="I50" t="str">
        <f>TRIM(MID(R50,FIND(",",R50)+1,FIND(",",R50,FIND(",",R50)+1)-FIND(",",R50)-1))</f>
        <v>Teal</v>
      </c>
      <c r="J50" t="inlineStr">
        <is>
          <t>One Size</t>
        </is>
      </c>
      <c r="K50" t="str">
        <f>VLOOKUP(B50,Lookup!$A$2:$G$7,4,FALSE)&amp;", "&amp;I50&amp;", O/S"</f>
        <v>Re:Born Cashmere Fingerless Gloves, Teal, O/S</v>
      </c>
      <c r="L50" t="n">
        <v>138</v>
      </c>
      <c r="M50">
        <f>VLOOKUP(B50,Lookup!$A$2:$G$7,5,FALSE)</f>
        <v>8.2</v>
      </c>
      <c r="N50">
        <f>VLOOKUP(B50,Lookup!$A$2:$G$7,6,FALSE)</f>
        <v>39</v>
      </c>
      <c r="O50">
        <f>VLOOKUP(B50,Lookup!$A$2:$G$7,7,FALSE)</f>
        <v>1.2</v>
      </c>
      <c r="P50">
        <f>IF(AND(ISNUMBER(N50),ISNUMBER(O50)),N50/O50,"TBC")</f>
        <v>32.5</v>
      </c>
      <c r="Q50">
        <f>IF(AND(ISNUMBER(N50),ISNUMBER(O50),ISNUMBER(M50)),((N50/O50)-M50)/(N50/O50),"TBC")</f>
        <v>0.7476923076923078</v>
      </c>
      <c r="R50" t="inlineStr">
        <is>
          <t>Re:Born Cashmere Fingerless Gloves, Teal, O/S</t>
        </is>
      </c>
    </row>
    <row r="51" customFormat="1" s="1">
      <c r="A51" t="inlineStr">
        <is>
          <t>900236ZZSTSS0000</t>
        </is>
      </c>
      <c r="B51">
        <f>VALUE(LEFT(A51,6))</f>
        <v>900236</v>
      </c>
      <c r="C51" t="str">
        <f>MID(A51,9,4)</f>
        <v>STSS</v>
      </c>
      <c r="D51" s="1" t="str">
        <f>B51&amp;C51</f>
        <v>900236STSS</v>
      </c>
      <c r="E51" s="1" t="str">
        <f>VLOOKUP(B51,Lookup!$A$2:$G$7,2,FALSE)</f>
        <v>Fingerless Gloves</v>
      </c>
      <c r="F51" s="1" t="str">
        <f>VLOOKUP(B51,Lookup!$A$2:$G$7,3,FALSE)</f>
        <v>Cashmere</v>
      </c>
      <c r="G51" s="1" t="str">
        <f>"Cashmere "&amp;E51</f>
        <v>Cashmere Fingerless Gloves</v>
      </c>
      <c r="H51" s="36" t="inlineStr">
        <is>
          <t>TBC</t>
        </is>
      </c>
      <c r="I51" s="1" t="str">
        <f>TRIM(MID(R51,FIND(",",R51)+1,FIND(",",R51,FIND(",",R51)+1)-FIND(",",R51)-1))</f>
        <v>Stripes</v>
      </c>
      <c r="J51" s="1" t="inlineStr">
        <is>
          <t>One Size</t>
        </is>
      </c>
      <c r="K51" t="str">
        <f>VLOOKUP(B51,Lookup!$A$2:$G$7,4,FALSE)&amp;", "&amp;I51&amp;", O/S"</f>
        <v>Re:Born Cashmere Fingerless Gloves, Stripes, O/S</v>
      </c>
      <c r="L51" t="n">
        <v>137</v>
      </c>
      <c r="M51" s="1">
        <f>VLOOKUP(B51,Lookup!$A$2:$G$7,5,FALSE)</f>
        <v>8.2</v>
      </c>
      <c r="N51" s="1">
        <f>VLOOKUP(B51,Lookup!$A$2:$G$7,6,FALSE)</f>
        <v>39</v>
      </c>
      <c r="O51" s="1">
        <f>VLOOKUP(B51,Lookup!$A$2:$G$7,7,FALSE)</f>
        <v>1.2</v>
      </c>
      <c r="P51" s="1">
        <f>IF(AND(ISNUMBER(N51),ISNUMBER(O51)),N51/O51,"TBC")</f>
        <v>32.5</v>
      </c>
      <c r="Q51" s="1">
        <f>IF(AND(ISNUMBER(N51),ISNUMBER(O51),ISNUMBER(M51)),((N51/O51)-M51)/(N51/O51),"TBC")</f>
        <v>0.7476923076923078</v>
      </c>
      <c r="R51" s="1" t="inlineStr">
        <is>
          <t>Re:Born Cashmere Fingerless Gloves, Stripes, O/S</t>
        </is>
      </c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</row>
    <row r="52" customFormat="1" s="1">
      <c r="A52" t="inlineStr">
        <is>
          <t>900231ZZMADD0000</t>
        </is>
      </c>
      <c r="B52">
        <f>VALUE(LEFT(A52,6))</f>
        <v>900231</v>
      </c>
      <c r="C52" t="str">
        <f>MID(A52,9,4)</f>
        <v>MADD</v>
      </c>
      <c r="D52" t="str">
        <f>B52&amp;C52</f>
        <v>900231MADD</v>
      </c>
      <c r="E52" t="str">
        <f>VLOOKUP(B52,Lookup!$A$2:$G$7,2,FALSE)</f>
        <v>Reversible Beanie</v>
      </c>
      <c r="F52" t="str">
        <f>VLOOKUP(B52,Lookup!$A$2:$G$7,3,FALSE)</f>
        <v>Cashmere</v>
      </c>
      <c r="G52" t="str">
        <f>"Cashmere "&amp;E52</f>
        <v>Cashmere Reversible Beanie</v>
      </c>
      <c r="H52" s="35" t="inlineStr">
        <is>
          <t>TBC</t>
        </is>
      </c>
      <c r="I52" t="str">
        <f>TRIM(MID(R52,FIND(",",R52)+1,FIND(",",R52,FIND(",",R52)+1)-FIND(",",R52)-1))</f>
        <v>Maroon And Dark Brown</v>
      </c>
      <c r="J52" t="inlineStr">
        <is>
          <t>One Size</t>
        </is>
      </c>
      <c r="K52" t="str">
        <f>VLOOKUP(B52,Lookup!$A$2:$G$7,4,FALSE)&amp;", "&amp;I52&amp;", O/S"</f>
        <v>Re:Born Reversible Cashmere Beanie, Maroon And Dark Brown, O/S</v>
      </c>
      <c r="L52" t="n">
        <v>135</v>
      </c>
      <c r="M52">
        <f>VLOOKUP(B52,Lookup!$A$2:$G$7,5,FALSE)</f>
        <v>9.1</v>
      </c>
      <c r="N52">
        <f>VLOOKUP(B52,Lookup!$A$2:$G$7,6,FALSE)</f>
        <v>39</v>
      </c>
      <c r="O52">
        <f>VLOOKUP(B52,Lookup!$A$2:$G$7,7,FALSE)</f>
        <v>1.2</v>
      </c>
      <c r="P52">
        <f>IF(AND(ISNUMBER(N52),ISNUMBER(O52)),N52/O52,"TBC")</f>
        <v>32.5</v>
      </c>
      <c r="Q52">
        <f>IF(AND(ISNUMBER(N52),ISNUMBER(O52),ISNUMBER(M52)),((N52/O52)-M52)/(N52/O52),"TBC")</f>
        <v>0.72</v>
      </c>
      <c r="R52" t="inlineStr">
        <is>
          <t>Re:Born Reverse Cashmere Beanie, Maroon And Dark Brown, O/S</t>
        </is>
      </c>
    </row>
  </sheetData>
  <autoFilter ref="A1:BE1">
    <sortState ref="A2:BE48">
      <sortCondition descending="1" ref="L1"/>
    </sortState>
  </autoFilter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8" customWidth="1" min="4" max="4"/>
    <col width="12" customWidth="1" min="5" max="5"/>
    <col width="10" customWidth="1" min="6" max="6"/>
    <col width="8" customWidth="1" min="7" max="7"/>
  </cols>
  <sheetData>
    <row r="1">
      <c r="A1" s="37" t="inlineStr">
        <is>
          <t>Style Code</t>
        </is>
      </c>
      <c r="B1" s="37" t="inlineStr">
        <is>
          <t>Category</t>
        </is>
      </c>
      <c r="C1" s="37" t="inlineStr">
        <is>
          <t>Material</t>
        </is>
      </c>
      <c r="D1" s="37" t="inlineStr">
        <is>
          <t>Brand + Product Name</t>
        </is>
      </c>
      <c r="E1" s="37" t="inlineStr">
        <is>
          <t>Cost Price</t>
        </is>
      </c>
      <c r="F1" s="37" t="inlineStr">
        <is>
          <t>RRP</t>
        </is>
      </c>
      <c r="G1" s="37" t="inlineStr">
        <is>
          <t>Vat</t>
        </is>
      </c>
    </row>
    <row r="2">
      <c r="A2" t="n">
        <v>900231</v>
      </c>
      <c r="B2" t="inlineStr">
        <is>
          <t>Reversible Beanie</t>
        </is>
      </c>
      <c r="C2" t="inlineStr">
        <is>
          <t>Cashmere</t>
        </is>
      </c>
      <c r="D2" t="inlineStr">
        <is>
          <t>Re:Born Reversible Cashmere Beanie</t>
        </is>
      </c>
      <c r="E2" t="n">
        <v>9.1</v>
      </c>
      <c r="F2" t="n">
        <v>39</v>
      </c>
      <c r="G2" t="n">
        <v>1.2</v>
      </c>
    </row>
    <row r="3">
      <c r="A3" t="n">
        <v>900232</v>
      </c>
      <c r="B3" t="inlineStr">
        <is>
          <t>Reversible Snood</t>
        </is>
      </c>
      <c r="C3" t="inlineStr">
        <is>
          <t>Cashmere</t>
        </is>
      </c>
      <c r="D3" t="inlineStr">
        <is>
          <t>Re:Born Reversible Cashmere Snood</t>
        </is>
      </c>
      <c r="E3" t="n">
        <v>9.1</v>
      </c>
      <c r="F3" t="n">
        <v>42</v>
      </c>
      <c r="G3" t="n">
        <v>1.2</v>
      </c>
    </row>
    <row r="4">
      <c r="A4" t="n">
        <v>900233</v>
      </c>
      <c r="B4" t="inlineStr">
        <is>
          <t>Snood &amp; Glove Set</t>
        </is>
      </c>
      <c r="C4" t="inlineStr">
        <is>
          <t>Cashmere</t>
        </is>
      </c>
      <c r="D4" t="inlineStr">
        <is>
          <t>Re:Born Snood &amp; Glove Set</t>
        </is>
      </c>
      <c r="E4" t="n">
        <v>17.2</v>
      </c>
      <c r="F4" s="35" t="inlineStr">
        <is>
          <t>TBC</t>
        </is>
      </c>
      <c r="G4" t="n">
        <v>1.2</v>
      </c>
    </row>
    <row r="5">
      <c r="A5" t="n">
        <v>900234</v>
      </c>
      <c r="B5" t="inlineStr">
        <is>
          <t>Beanie &amp; Glove Set</t>
        </is>
      </c>
      <c r="C5" t="inlineStr">
        <is>
          <t>Cashmere</t>
        </is>
      </c>
      <c r="D5" t="inlineStr">
        <is>
          <t>Re:Born Beanie &amp; Glove Set</t>
        </is>
      </c>
      <c r="E5" t="n">
        <v>17.2</v>
      </c>
      <c r="F5" s="35" t="inlineStr">
        <is>
          <t>TBC</t>
        </is>
      </c>
      <c r="G5" t="n">
        <v>1.2</v>
      </c>
    </row>
    <row r="6">
      <c r="A6" t="n">
        <v>900235</v>
      </c>
      <c r="B6" t="inlineStr">
        <is>
          <t>2 Pack Gloves</t>
        </is>
      </c>
      <c r="C6" t="inlineStr">
        <is>
          <t>Cashmere</t>
        </is>
      </c>
      <c r="D6" t="inlineStr">
        <is>
          <t>Re:Born 2 Pack Gloves</t>
        </is>
      </c>
      <c r="E6" s="35" t="inlineStr">
        <is>
          <t>TBC</t>
        </is>
      </c>
      <c r="F6" s="35" t="inlineStr">
        <is>
          <t>TBC</t>
        </is>
      </c>
      <c r="G6" s="35" t="inlineStr">
        <is>
          <t>TBC</t>
        </is>
      </c>
    </row>
    <row r="7">
      <c r="A7" t="n">
        <v>900236</v>
      </c>
      <c r="B7" t="inlineStr">
        <is>
          <t>Fingerless Gloves</t>
        </is>
      </c>
      <c r="C7" t="inlineStr">
        <is>
          <t>Cashmere</t>
        </is>
      </c>
      <c r="D7" t="inlineStr">
        <is>
          <t>Re:Born Cashmere Fingerless Gloves</t>
        </is>
      </c>
      <c r="E7" t="n">
        <v>8.199999999999999</v>
      </c>
      <c r="F7" t="n">
        <v>39</v>
      </c>
      <c r="G7" t="n">
        <v>1.2</v>
      </c>
    </row>
    <row r="9">
      <c r="A9" s="38" t="inlineStr">
        <is>
          <t>Style Code = first 6 digits of the Sku.</t>
        </is>
      </c>
    </row>
    <row r="10">
      <c r="A10" s="38" t="inlineStr">
        <is>
          <t>'2 Pack Gloves' has no matching entry on the original ReBorn reference tab - pricing unknown, needs confirming.</t>
        </is>
      </c>
    </row>
    <row r="11">
      <c r="A11" s="38" t="inlineStr">
        <is>
          <t>RRP for the two 'Set' product lines is shown as '?' on the original ReBorn reference tab - genuinely unconfirmed.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8" sqref="C8"/>
    </sheetView>
  </sheetViews>
  <sheetFormatPr baseColWidth="8" defaultColWidth="21.7890625" defaultRowHeight="12.75"/>
  <cols>
    <col width="40.22265625" customWidth="1" style="22" min="1" max="1"/>
    <col width="21.7890625" customWidth="1" style="23" min="2" max="2"/>
    <col width="21.7890625" customWidth="1" style="22" min="3" max="16384"/>
  </cols>
  <sheetData>
    <row r="1">
      <c r="A1" s="20" t="inlineStr">
        <is>
          <t>Description</t>
        </is>
      </c>
      <c r="B1" s="21" t="inlineStr">
        <is>
          <t>Cost Price</t>
        </is>
      </c>
      <c r="C1" s="20" t="inlineStr">
        <is>
          <t>RRP</t>
        </is>
      </c>
      <c r="D1" s="20" t="inlineStr">
        <is>
          <t>Vat</t>
        </is>
      </c>
      <c r="E1" s="20" t="inlineStr">
        <is>
          <t>Country of Origin</t>
        </is>
      </c>
    </row>
    <row r="2">
      <c r="A2" s="22" t="inlineStr">
        <is>
          <t>Re:Born Cashmere Headband</t>
        </is>
      </c>
      <c r="B2" s="23" t="n">
        <v>7.1</v>
      </c>
      <c r="C2" s="22" t="n">
        <v>25</v>
      </c>
      <c r="D2" s="22" t="n">
        <v>1.2</v>
      </c>
      <c r="E2" s="22" t="inlineStr">
        <is>
          <t>Dubai</t>
        </is>
      </c>
    </row>
    <row r="3" ht="15" customHeight="1">
      <c r="A3" s="22" t="inlineStr">
        <is>
          <t>Re:Born Reversible Cashmere Beanie</t>
        </is>
      </c>
      <c r="B3" s="24" t="n">
        <v>9.1</v>
      </c>
      <c r="C3" s="22" t="n">
        <v>39</v>
      </c>
      <c r="D3" s="22" t="n">
        <v>1.2</v>
      </c>
      <c r="E3" s="22" t="inlineStr">
        <is>
          <t>Dubai</t>
        </is>
      </c>
    </row>
    <row r="4">
      <c r="A4" s="22" t="inlineStr">
        <is>
          <t xml:space="preserve"> Re:Born Reversible Cashmere Snood</t>
        </is>
      </c>
      <c r="B4" s="23" t="n">
        <v>9.1</v>
      </c>
      <c r="C4" s="22" t="n">
        <v>42</v>
      </c>
      <c r="D4" s="22" t="n">
        <v>1.2</v>
      </c>
      <c r="E4" s="22" t="inlineStr">
        <is>
          <t>Dubai</t>
        </is>
      </c>
    </row>
    <row r="5">
      <c r="A5" s="22" t="inlineStr">
        <is>
          <t>Re:Born Snood &amp; Glove Set</t>
        </is>
      </c>
      <c r="B5" s="23" t="n">
        <v>17.2</v>
      </c>
      <c r="C5" s="22" t="inlineStr">
        <is>
          <t>?</t>
        </is>
      </c>
      <c r="D5" s="22" t="n">
        <v>1.2</v>
      </c>
      <c r="E5" s="22" t="inlineStr">
        <is>
          <t>Dubai</t>
        </is>
      </c>
    </row>
    <row r="6">
      <c r="A6" s="22" t="inlineStr">
        <is>
          <t>Re:Born Beanie &amp; Glove Set</t>
        </is>
      </c>
      <c r="B6" s="23" t="n">
        <v>17.2</v>
      </c>
      <c r="C6" s="22" t="inlineStr">
        <is>
          <t>?</t>
        </is>
      </c>
      <c r="D6" s="22" t="n">
        <v>1.2</v>
      </c>
      <c r="E6" s="22" t="inlineStr">
        <is>
          <t>Dubai</t>
        </is>
      </c>
    </row>
    <row r="7">
      <c r="A7" s="22" t="inlineStr">
        <is>
          <t xml:space="preserve">Re:Born Cashmere Fingerless Gloves </t>
        </is>
      </c>
      <c r="B7" s="23" t="n">
        <v>8.199999999999999</v>
      </c>
      <c r="C7" s="22" t="n">
        <v>39</v>
      </c>
      <c r="D7" s="22" t="n">
        <v>1.2</v>
      </c>
      <c r="E7" s="22" t="inlineStr">
        <is>
          <t>Dubai</t>
        </is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39" t="inlineStr">
        <is>
          <t>Re:Born Stock List - Summary Answers</t>
        </is>
      </c>
    </row>
    <row r="3">
      <c r="A3" s="40" t="inlineStr">
        <is>
          <t>Q1. Total stock at net value</t>
        </is>
      </c>
      <c r="B3" s="41">
        <f>SUMPRODUCT(N('Data Sheet'!P3:P52),'Data Sheet'!L3:L52)</f>
        <v>967677.5</v>
      </c>
    </row>
    <row r="4">
      <c r="A4" t="inlineStr">
        <is>
          <t>Of which, units excluded (price not yet confirmed - see Cleaning Log)</t>
        </is>
      </c>
      <c r="B4" s="42">
        <f>SUMPRODUCT((('Data Sheet'!P3:P52="TBC"))*'Data Sheet'!L3:L52)</f>
        <v>321</v>
      </c>
    </row>
    <row r="6">
      <c r="A6" s="40" t="inlineStr">
        <is>
          <t>Q2. Fingerless Gloves currently in stock</t>
        </is>
      </c>
      <c r="B6" s="42">
        <f>SUMIF('Data Sheet'!E3:E52,"Fingerless Gloves",'Data Sheet'!L3:L52)</f>
        <v>29118</v>
      </c>
    </row>
    <row r="8">
      <c r="A8" s="40" t="inlineStr">
        <is>
          <t>Stock quantity by category (reference)</t>
        </is>
      </c>
    </row>
    <row r="9">
      <c r="A9" t="inlineStr">
        <is>
          <t>Fingerless Gloves</t>
        </is>
      </c>
      <c r="B9" s="42">
        <f>SUMIF('Data Sheet'!E3:E52,"Fingerless Gloves",'Data Sheet'!L3:L52)</f>
        <v>29118</v>
      </c>
    </row>
    <row r="10">
      <c r="A10" t="inlineStr">
        <is>
          <t>Reversible Beanie</t>
        </is>
      </c>
      <c r="B10" s="42">
        <f>SUMIF('Data Sheet'!E3:E52,"Reversible Beanie",'Data Sheet'!L3:L52)</f>
        <v>241</v>
      </c>
    </row>
    <row r="11">
      <c r="A11" t="inlineStr">
        <is>
          <t>Reversible Snood</t>
        </is>
      </c>
      <c r="B11" s="42">
        <f>SUMIF('Data Sheet'!E3:E52,"Reversible Snood",'Data Sheet'!L3:L52)</f>
        <v>386</v>
      </c>
    </row>
    <row r="12">
      <c r="A12" t="inlineStr">
        <is>
          <t>Snood &amp; Glove Set</t>
        </is>
      </c>
      <c r="B12" s="42">
        <f>SUMIF('Data Sheet'!E3:E52,"Snood &amp; Glove Set",'Data Sheet'!L3:L52)</f>
        <v>35</v>
      </c>
    </row>
    <row r="13">
      <c r="A13" t="inlineStr">
        <is>
          <t>Beanie &amp; Glove Set</t>
        </is>
      </c>
      <c r="B13" s="42">
        <f>SUMIF('Data Sheet'!E3:E52,"Beanie &amp; Glove Set",'Data Sheet'!L3:L52)</f>
        <v>147</v>
      </c>
    </row>
    <row r="14">
      <c r="A14" t="inlineStr">
        <is>
          <t>2 Pack Gloves</t>
        </is>
      </c>
      <c r="B14" s="42">
        <f>SUMIF('Data Sheet'!E3:E52,"2 Pack Gloves",'Data Sheet'!L3:L52)</f>
        <v>139</v>
      </c>
    </row>
    <row r="16">
      <c r="A16" s="40" t="inlineStr">
        <is>
          <t>Notes:</t>
        </is>
      </c>
    </row>
    <row r="17">
      <c r="A17" t="inlineStr">
        <is>
          <t>Net value = Quantity Available x Net RRP, summed across all rows with a confirmed RRP.</t>
        </is>
      </c>
    </row>
    <row r="18">
      <c r="A18" t="inlineStr">
        <is>
          <t>35 (Snood &amp; Glove Set) + 147 (Beanie &amp; Glove Set) + 139 (2 Pack Gloves) = 321 units are excluded</t>
        </is>
      </c>
    </row>
    <row r="19">
      <c r="A19" t="inlineStr">
        <is>
          <t>from the net-value total because their RRP is not yet confirmed (see 'Cleaning Log' tab).</t>
        </is>
      </c>
    </row>
    <row r="20">
      <c r="A20" t="inlineStr">
        <is>
          <t>All figures are live formulas that recalculate automatically from the 'Data Sheet' and 'Lookup' tabs.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22" customWidth="1" min="4" max="4"/>
  </cols>
  <sheetData>
    <row r="1">
      <c r="A1" s="39" t="inlineStr">
        <is>
          <t>Data Cleaning Log - Re:Born Stock List</t>
        </is>
      </c>
    </row>
    <row r="3">
      <c r="A3" s="37" t="inlineStr">
        <is>
          <t>Original Row(s)</t>
        </is>
      </c>
      <c r="B3" s="37" t="inlineStr">
        <is>
          <t>Issue Found</t>
        </is>
      </c>
      <c r="C3" s="37" t="inlineStr">
        <is>
          <t>Resolution</t>
        </is>
      </c>
      <c r="D3" s="37" t="inlineStr">
        <is>
          <t>Type</t>
        </is>
      </c>
    </row>
    <row r="4" ht="45" customHeight="1">
      <c r="A4" s="43" t="inlineStr">
        <is>
          <t>Row 41</t>
        </is>
      </c>
      <c r="B4" s="43" t="inlineStr">
        <is>
          <t>Completely blank row in the middle of the sheet.</t>
        </is>
      </c>
      <c r="C4" s="43" t="inlineStr">
        <is>
          <t>Row removed.</t>
        </is>
      </c>
      <c r="D4" s="43" t="inlineStr">
        <is>
          <t>Blank row</t>
        </is>
      </c>
    </row>
    <row r="5" ht="45" customHeight="1">
      <c r="A5" s="43" t="inlineStr">
        <is>
          <t>Rows 4 &amp; 5</t>
        </is>
      </c>
      <c r="B5" s="43" t="inlineStr">
        <is>
          <t>Sku 900236ZZLGRY0000 listed twice with identical qty (3605) and identical description.</t>
        </is>
      </c>
      <c r="C5" s="43" t="inlineStr">
        <is>
          <t>Kept row 4, removed the exact duplicate.</t>
        </is>
      </c>
      <c r="D5" s="43" t="inlineStr">
        <is>
          <t>Exact duplicate</t>
        </is>
      </c>
    </row>
    <row r="6" ht="45" customHeight="1">
      <c r="A6" s="43" t="inlineStr">
        <is>
          <t>Rows 6 &amp; 7</t>
        </is>
      </c>
      <c r="B6" s="43" t="inlineStr">
        <is>
          <t>Sku 900236ZZDKGR0000 listed twice with identical qty (3599) and identical description.</t>
        </is>
      </c>
      <c r="C6" s="43" t="inlineStr">
        <is>
          <t>Kept row 6, removed the exact duplicate.</t>
        </is>
      </c>
      <c r="D6" s="43" t="inlineStr">
        <is>
          <t>Exact duplicate</t>
        </is>
      </c>
    </row>
    <row r="7" ht="45" customHeight="1">
      <c r="A7" s="43" t="inlineStr">
        <is>
          <t>Rows 58 &amp; 59</t>
        </is>
      </c>
      <c r="B7" s="43" t="inlineStr">
        <is>
          <t>Sku 900236ZZAAAI0000 (Teal) listed twice with identical qty (138) and identical description.</t>
        </is>
      </c>
      <c r="C7" s="43" t="inlineStr">
        <is>
          <t>Kept row 58, removed the exact duplicate.</t>
        </is>
      </c>
      <c r="D7" s="43" t="inlineStr">
        <is>
          <t>Exact duplicate</t>
        </is>
      </c>
    </row>
    <row r="8" ht="45" customHeight="1">
      <c r="A8" s="43" t="inlineStr">
        <is>
          <t>Rows 17 &amp; 18</t>
        </is>
      </c>
      <c r="B8" s="43" t="inlineStr">
        <is>
          <t>Sku 900236ZZDMAA0000 listed twice, same qty (598), but row 18's description drops the word 'Fingerless' and uses 'One Size' instead of 'O/S'.</t>
        </is>
      </c>
      <c r="C8" s="43" t="inlineStr">
        <is>
          <t>Kept row 17 (matches the standard description format used everywhere else), removed row 18.</t>
        </is>
      </c>
      <c r="D8" s="43" t="inlineStr">
        <is>
          <t>Duplicate - inconsistent wording</t>
        </is>
      </c>
    </row>
    <row r="9" ht="45" customHeight="1">
      <c r="A9" s="43" t="inlineStr">
        <is>
          <t>Rows 30 &amp; 31</t>
        </is>
      </c>
      <c r="B9" s="43" t="inlineStr">
        <is>
          <t>Sku 900235ZZBCAA0000 listed twice, same qty (41); row 31 spells the brand 'RE:Born' (wrong capitalisation) instead of 'Re:Born'.</t>
        </is>
      </c>
      <c r="C9" s="43" t="inlineStr">
        <is>
          <t>Kept row 30, removed the typo duplicate.</t>
        </is>
      </c>
      <c r="D9" s="43" t="inlineStr">
        <is>
          <t>Duplicate - typo</t>
        </is>
      </c>
    </row>
    <row r="10" ht="45" customHeight="1">
      <c r="A10" s="43" t="inlineStr">
        <is>
          <t>Rows 36 &amp; 47</t>
        </is>
      </c>
      <c r="B10" s="43" t="inlineStr">
        <is>
          <t>Sku 900232ZZBGAA0000 listed twice (not adjacent - easy to miss), same qty (11); row 36 has a double space and is 8 rows away from its duplicate at row 47.</t>
        </is>
      </c>
      <c r="C10" s="43" t="inlineStr">
        <is>
          <t>Kept row 47, removed row 36.</t>
        </is>
      </c>
      <c r="D10" s="43" t="inlineStr">
        <is>
          <t>Duplicate - formatting/typo, non-adjacent</t>
        </is>
      </c>
    </row>
    <row r="11" ht="45" customHeight="1">
      <c r="A11" s="43" t="inlineStr">
        <is>
          <t>Rows 37 &amp; 38</t>
        </is>
      </c>
      <c r="B11" s="43" t="inlineStr">
        <is>
          <t>Sku 900231ZZBLLL0000 listed twice, same qty (11); row 37 drops the word 'Cashmere' and has a double space.</t>
        </is>
      </c>
      <c r="C11" s="43" t="inlineStr">
        <is>
          <t>Kept row 38, removed row 37.</t>
        </is>
      </c>
      <c r="D11" s="43" t="inlineStr">
        <is>
          <t>Duplicate - inconsistent wording</t>
        </is>
      </c>
    </row>
    <row r="12" ht="45" customHeight="1">
      <c r="A12" s="43" t="inlineStr">
        <is>
          <t>Rows 43 &amp; 53</t>
        </is>
      </c>
      <c r="B12" s="43" t="inlineStr">
        <is>
          <t>Sku 900231ZZBPAA0000 listed twice, same qty (49), 10 rows apart; row 53 misspells the brand as 'Re:Bron'.</t>
        </is>
      </c>
      <c r="C12" s="43" t="inlineStr">
        <is>
          <t>Kept row 43, removed row 53.</t>
        </is>
      </c>
      <c r="D12" s="43" t="inlineStr">
        <is>
          <t>Duplicate - typo, non-adjacent</t>
        </is>
      </c>
    </row>
    <row r="13" ht="45" customHeight="1">
      <c r="A13" s="43" t="inlineStr">
        <is>
          <t>All Reversible Beanie rows</t>
        </is>
      </c>
      <c r="B13" s="43" t="inlineStr">
        <is>
          <t>Product name inconsistently written as 'Reverse Beanie' / 'Reverse Cashmere Beanie' in some rows vs 'Reversible Cashmere Beanie' in others. The ReBorn reference tab confirms 'Reversible' is correct.</t>
        </is>
      </c>
      <c r="C13" s="43" t="inlineStr">
        <is>
          <t>Standardised every row's Description to 'Re:Born Reversible Cashmere Beanie, &lt;colour&gt;, O/S'.</t>
        </is>
      </c>
      <c r="D13" s="43" t="inlineStr">
        <is>
          <t>Inconsistent naming</t>
        </is>
      </c>
    </row>
    <row r="14" ht="45" customHeight="1">
      <c r="A14" s="43" t="inlineStr">
        <is>
          <t>Style Code / Colour Code / Option (cols B-D)</t>
        </is>
      </c>
      <c r="B14" s="43" t="inlineStr">
        <is>
          <t>Not filled in for any row except the example (row 2). Also, row 2's own Option (900196AUBE) does not actually match its own Style Code (900000) or Sku - the example itself contains an inconsistency.</t>
        </is>
      </c>
      <c r="C14" s="43" t="inlineStr">
        <is>
          <t>Derived Style Code and Colour Code directly from each Sku (first 6 digits / the 4 letters between 'ZZ' and the trailing '0000'), and built Option as Style Code + Colour Code consistently for every row.</t>
        </is>
      </c>
      <c r="D14" s="43" t="inlineStr">
        <is>
          <t>Missing data + example inconsistency</t>
        </is>
      </c>
    </row>
    <row r="15" ht="45" customHeight="1">
      <c r="A15" s="43" t="inlineStr">
        <is>
          <t>Category / Material / Style (cols E-G)</t>
        </is>
      </c>
      <c r="B15" s="43" t="inlineStr">
        <is>
          <t>Not filled in for any row.</t>
        </is>
      </c>
      <c r="C15" s="43" t="inlineStr">
        <is>
          <t>Derived from the 6-digit style-code prefix of the Sku (e.g. 900236 = Fingerless Gloves), cross-checked against the product names on the ReBorn reference tab.</t>
        </is>
      </c>
      <c r="D15" s="43" t="inlineStr">
        <is>
          <t>Missing data</t>
        </is>
      </c>
    </row>
    <row r="16" ht="45" customHeight="1">
      <c r="A16" s="43" t="inlineStr">
        <is>
          <t>Colour (col I)</t>
        </is>
      </c>
      <c r="B16" s="43" t="inlineStr">
        <is>
          <t>Not filled in for any row.</t>
        </is>
      </c>
      <c r="C16" s="43" t="inlineStr">
        <is>
          <t>Extracted from the middle segment of each Description (text between the two commas).</t>
        </is>
      </c>
      <c r="D16" s="43" t="inlineStr">
        <is>
          <t>Missing data</t>
        </is>
      </c>
    </row>
    <row r="17" ht="45" customHeight="1">
      <c r="A17" s="43" t="inlineStr">
        <is>
          <t>Size (col J)</t>
        </is>
      </c>
      <c r="B17" s="43" t="inlineStr">
        <is>
          <t>Not filled in for any row.</t>
        </is>
      </c>
      <c r="C17" s="43" t="inlineStr">
        <is>
          <t>Set to 'One Size' for every row - every product in this list is O/S (one size).</t>
        </is>
      </c>
      <c r="D17" s="43" t="inlineStr">
        <is>
          <t>Missing data</t>
        </is>
      </c>
    </row>
    <row r="18" ht="45" customHeight="1">
      <c r="A18" s="43" t="inlineStr">
        <is>
          <t>Landed Cost Price / RRP / Vat (cols M-O)</t>
        </is>
      </c>
      <c r="B18" s="43" t="inlineStr">
        <is>
          <t>Not filled in for any row.</t>
        </is>
      </c>
      <c r="C18" s="43" t="inlineStr">
        <is>
          <t>Looked up from the ReBorn reference tab by product category and applied to every row in that category.</t>
        </is>
      </c>
      <c r="D18" s="43" t="inlineStr">
        <is>
          <t>Missing data</t>
        </is>
      </c>
    </row>
    <row r="19" ht="45" customHeight="1">
      <c r="A19" s="43" t="inlineStr">
        <is>
          <t>Net RRP / Margin (cols P-Q)</t>
        </is>
      </c>
      <c r="B19" s="43" t="inlineStr">
        <is>
          <t>Not filled in for any row.</t>
        </is>
      </c>
      <c r="C19" s="43" t="inlineStr">
        <is>
          <t>Copied the same formulas used in the row 2 example (Net RRP = RRP/Vat, Margin = (Net RRP - Cost)/Net RRP) down every row where RRP is known.</t>
        </is>
      </c>
      <c r="D19" s="43" t="inlineStr">
        <is>
          <t>Missing data</t>
        </is>
      </c>
    </row>
    <row r="20" ht="45" customHeight="1">
      <c r="A20" s="43" t="inlineStr">
        <is>
          <t>2 Pack Gloves pricing (style 900235)</t>
        </is>
      </c>
      <c r="B20" s="43" t="inlineStr">
        <is>
          <t>This product line (several rows) has no matching entry anywhere on the ReBorn reference tab, so Cost Price, RRP and Vat are all unknown.</t>
        </is>
      </c>
      <c r="C20" s="43" t="inlineStr">
        <is>
          <t>Left marked 'TBC' (highlighted) in Cost Price, RRP, Vat, Net RRP and Margin. Recommend checking with the buying/finance team for the correct figures.</t>
        </is>
      </c>
      <c r="D20" s="43" t="inlineStr">
        <is>
          <t>Further investigation needed</t>
        </is>
      </c>
    </row>
    <row r="21" ht="45" customHeight="1">
      <c r="A21" s="43" t="inlineStr">
        <is>
          <t>Snood &amp; Glove Set / Beanie &amp; Glove Set RRP</t>
        </is>
      </c>
      <c r="B21" s="43" t="inlineStr">
        <is>
          <t>The ReBorn reference tab lists the RRP for these two lines as '?' - i.e. genuinely not yet decided/confirmed, not a data entry gap.</t>
        </is>
      </c>
      <c r="C21" s="43" t="inlineStr">
        <is>
          <t>Cost Price and Vat filled in from the reference tab; RRP, Net RRP and Margin left as 'TBC' (highlighted) since inventing a number would be misleading. Recommend confirming with pricing/marketing.</t>
        </is>
      </c>
      <c r="D21" s="43" t="inlineStr">
        <is>
          <t>Further investigation needed</t>
        </is>
      </c>
    </row>
    <row r="22" ht="45" customHeight="1">
      <c r="A22" s="43" t="inlineStr">
        <is>
          <t>Range (col H)</t>
        </is>
      </c>
      <c r="B22" s="43" t="inlineStr">
        <is>
          <t>The row 2 example shows a Range of 'Core', but no other row, sheet, or column in the source data indicates what Range/Collection any product belongs to.</t>
        </is>
      </c>
      <c r="C22" s="43" t="inlineStr">
        <is>
          <t>Left as 'TBC' (highlighted) for every row rather than guessing. Recommend checking with merchandising for the correct Range per style.</t>
        </is>
      </c>
      <c r="D22" s="43" t="inlineStr">
        <is>
          <t>Further investigation needed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Kate Baird - Turtle Doves</dc:creator>
  <dcterms:created xsi:type="dcterms:W3CDTF">2026-04-23T07:40:48Z</dcterms:created>
  <dcterms:modified xsi:type="dcterms:W3CDTF">2026-08-12T16:17:57Z</dcterms:modified>
  <cp:lastModifiedBy>Kim-Marie Button - Frugi</cp:lastModifiedBy>
</cp:coreProperties>
</file>