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lticandcoo365-my.sharepoint.com/personal/kim-marie_button_welovefrugi_com/Documents/Confidential Managers folder/HR General/Offshore/Interviews/"/>
    </mc:Choice>
  </mc:AlternateContent>
  <xr:revisionPtr revIDLastSave="0" documentId="8_{CEC7B199-D201-8C48-8774-CED340BC0DE7}" xr6:coauthVersionLast="47" xr6:coauthVersionMax="47" xr10:uidLastSave="{00000000-0000-0000-0000-000000000000}"/>
  <bookViews>
    <workbookView xWindow="-110" yWindow="-110" windowWidth="19420" windowHeight="10300" xr2:uid="{AEE212C7-43F7-47BF-B557-1B0D45899F10}"/>
  </bookViews>
  <sheets>
    <sheet name="Data Sheet" sheetId="1" r:id="rId1"/>
    <sheet name="ReBorn" sheetId="3" r:id="rId2"/>
  </sheets>
  <definedNames>
    <definedName name="_xlnm._FilterDatabase" localSheetId="0" hidden="1">'Data Sheet'!$A$1:$BE$1</definedName>
    <definedName name="_xlnm._FilterDatabase" localSheetId="1" hidden="1">ReBorn!$A$1:$E$7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P2" i="1"/>
</calcChain>
</file>

<file path=xl/sharedStrings.xml><?xml version="1.0" encoding="utf-8"?>
<sst xmlns="http://schemas.openxmlformats.org/spreadsheetml/2006/main" count="162" uniqueCount="143">
  <si>
    <t>Sku</t>
  </si>
  <si>
    <t>Description</t>
  </si>
  <si>
    <t>900236ZZBLCK0000</t>
  </si>
  <si>
    <t>Re:Born Cashmere Fingerless Gloves, Black, O/S</t>
  </si>
  <si>
    <t>900236ZZLGRY0000</t>
  </si>
  <si>
    <t>Re:Born Cashmere Fingerless Gloves, Light Grey, O/S</t>
  </si>
  <si>
    <t>900236ZZDKGR0000</t>
  </si>
  <si>
    <t>Re:Born Cashmere Fingerless Gloves, Dark Grey, O/S</t>
  </si>
  <si>
    <t>900236ZZLLBL0000</t>
  </si>
  <si>
    <t>Re:Born Cashmere Fingerless Gloves, Light Beige, O/S</t>
  </si>
  <si>
    <t>900236ZZLTBR0000</t>
  </si>
  <si>
    <t>Re:Born Cashmere Fingerless Gloves, Light Brown, O/S</t>
  </si>
  <si>
    <t>900236ZZNAVY0000</t>
  </si>
  <si>
    <t>Re:Born Cashmere Fingerless Gloves, Navy, O/S</t>
  </si>
  <si>
    <t>900236ZZLMLL0000</t>
  </si>
  <si>
    <t>Re:Born Cashmere Fingerless Gloves, Light Maroon, O/S</t>
  </si>
  <si>
    <t>900236ZZRDST0000</t>
  </si>
  <si>
    <t>Re:Born Cashmere Fingerless Gloves, Red, O/S</t>
  </si>
  <si>
    <t>900236ZZAAAC0000</t>
  </si>
  <si>
    <t>Re:Born Cashmere Fingerless Gloves, Baby Pink, O/S</t>
  </si>
  <si>
    <t>900236ZZDKBR0000</t>
  </si>
  <si>
    <t>Re:Born Cashmere Fingerless Gloves, Dark Brown, O/S</t>
  </si>
  <si>
    <t>900236ZZYELL0000</t>
  </si>
  <si>
    <t>Re:Born Cashmere Fingerless Gloves, Yellow, O/S</t>
  </si>
  <si>
    <t>900236ZZBEIG0000</t>
  </si>
  <si>
    <t>Re:Born Cashmere Fingerless Gloves, Beige, O/S</t>
  </si>
  <si>
    <t>900236ZZDMAA0000</t>
  </si>
  <si>
    <t>Re:Born Cashmere Fingerless Gloves, Deep Matcha Green, O/S</t>
  </si>
  <si>
    <t>900236ZZBAPP0000</t>
  </si>
  <si>
    <t>Re:Born Cashmere Fingerless Gloves, Pink, O/S</t>
  </si>
  <si>
    <t>900236ZZMIII0000</t>
  </si>
  <si>
    <t>Re:Born Cashmere Fingerless Gloves, Military Green, O/S</t>
  </si>
  <si>
    <t>900236ZZLTGN0000</t>
  </si>
  <si>
    <t>Re:Born Cashmere Fingerless Gloves, Light Green, O/S</t>
  </si>
  <si>
    <t>900236ZZLIBL0000</t>
  </si>
  <si>
    <t>Re:Born Cashmere Fingerless Gloves, Light Blue, O/S</t>
  </si>
  <si>
    <t>900236ZZLAVE0000</t>
  </si>
  <si>
    <t>Re:Born Cashmere Fingerless Gloves, Lavender, O/S</t>
  </si>
  <si>
    <t>900236ZZMRRR0000</t>
  </si>
  <si>
    <t>Re:Born Cashmere Fingerless Gloves, Maroon, O/S</t>
  </si>
  <si>
    <t>900236ZZDNBL0000</t>
  </si>
  <si>
    <t>Re:Born Cashmere Fingerless Gloves, Denim Blue, O/S</t>
  </si>
  <si>
    <t>900236ZZGRRR0000</t>
  </si>
  <si>
    <t>Re:Born Cashmere Fingerless Gloves, Grape Purple, O/S</t>
  </si>
  <si>
    <t>900236ZZDKPU0000</t>
  </si>
  <si>
    <t>Re:Born Cashmere Fingerless Gloves, Dark Purple, O/S</t>
  </si>
  <si>
    <t>900236ZZOCAA0000</t>
  </si>
  <si>
    <t>Re:Born Cashmere Fingerless Gloves, Ocean Green, O/S</t>
  </si>
  <si>
    <t>900236ZZBABB0000</t>
  </si>
  <si>
    <t>Re:Born Cashmere Fingerless Gloves, Baby Blue, O/S</t>
  </si>
  <si>
    <t>900232ZZLBAA0000</t>
  </si>
  <si>
    <t>Re:Born Reversible Cashmere Snood, Light Grey And Black, O/S</t>
  </si>
  <si>
    <t>900236ZZAAAI0000</t>
  </si>
  <si>
    <t>Re:Born Cashmere Fingerless Gloves, Teal, O/S</t>
  </si>
  <si>
    <t>900236ZZSTSS0000</t>
  </si>
  <si>
    <t>Re:Born Cashmere Fingerless Gloves, Stripes, O/S</t>
  </si>
  <si>
    <t>900231ZZMADD0000</t>
  </si>
  <si>
    <t>Re:Born Reverse Cashmere Beanie, Maroon And Dark Brown, O/S</t>
  </si>
  <si>
    <t>900232ZZBLCK0000</t>
  </si>
  <si>
    <t>Re:Born Reversible Cashmere Snood, Black, O/S</t>
  </si>
  <si>
    <t>900236ZZKELL0000</t>
  </si>
  <si>
    <t>Re:Born Cashmere Fingerless Gloves, Kelly Green, O/S</t>
  </si>
  <si>
    <t>900234ZZAADP0000</t>
  </si>
  <si>
    <t>Re:Born Beanie &amp; Glove Set, Black &amp; Red, O/S</t>
  </si>
  <si>
    <t>900235ZZREAA0000</t>
  </si>
  <si>
    <t>Re:Born 2 Pack Gloves, Red And Navy, O/S</t>
  </si>
  <si>
    <t>900236ZZAAAK0000</t>
  </si>
  <si>
    <t>Re:Born Cashmere Fingerless Gloves, Hot Pink, O/S</t>
  </si>
  <si>
    <t>900232ZZLCAA0000</t>
  </si>
  <si>
    <t>Re:Born Reverse Cashmere Snood, Light Beige&amp;Choco Brown, O/S</t>
  </si>
  <si>
    <t>900231ZZBPAA0000</t>
  </si>
  <si>
    <t>Re:Born Reversible Cashmere Beanie, Baby Pink And Cream, O/S</t>
  </si>
  <si>
    <t>900235ZZBCAA0000</t>
  </si>
  <si>
    <t>Re:Born 2 Pack Gloves, Black And Caramel, O/S</t>
  </si>
  <si>
    <t>900236ZZAADI0000</t>
  </si>
  <si>
    <t>Re:Born Cashmere Fingerless Gloves, One Of A Kind, O/S</t>
  </si>
  <si>
    <t>900233ZZNRAN0000</t>
  </si>
  <si>
    <t>Re:Born Snood &amp; Glove Set, Navy/Red and Grey, O/S</t>
  </si>
  <si>
    <t>900232ZZRCCC0000</t>
  </si>
  <si>
    <t>Re:Born Reversible Cashmere Snood, Red And Cream, O/S</t>
  </si>
  <si>
    <t>900236ZZBRRR0000</t>
  </si>
  <si>
    <t>Re:Born Cashmere Fingerless Gloves, Brights, O/S</t>
  </si>
  <si>
    <t>900234ZZNBAN0000</t>
  </si>
  <si>
    <t>Re:Born Beanie &amp; Glove Set, Navy And Beige, O/S</t>
  </si>
  <si>
    <t>900231ZZREAR0000</t>
  </si>
  <si>
    <t>Re:Born Reversible Cashmere Beanie, Red And Beige, O/S</t>
  </si>
  <si>
    <t>900231ZZLBAL0000</t>
  </si>
  <si>
    <t>Re:Born Reverse Cashmere Beanie, Light Blue&amp;Light Beige, O/S</t>
  </si>
  <si>
    <t>900231ZZBLLL0000</t>
  </si>
  <si>
    <t>Re:Born Reverse Cashmere Beanie, Black And Light Grey, O/S</t>
  </si>
  <si>
    <t>900232ZZBGAA0000</t>
  </si>
  <si>
    <t>Re:Born Reversible Cashmere Snood, Black And Dark Grey, O/S</t>
  </si>
  <si>
    <t>900232ZZBBRA0000</t>
  </si>
  <si>
    <t>Re:Born Reversible Cashmere Snood, Beige And Brown, O/S</t>
  </si>
  <si>
    <t>900232ZZMGAA0000</t>
  </si>
  <si>
    <t>Re:Born Reversible Cashmere Snood, Maroon And Dark Grey, O/S</t>
  </si>
  <si>
    <t>900231ZZPYPP0000</t>
  </si>
  <si>
    <t>Re:Born Reversible Cashmere Beanie, Purple And Yellow, O/S</t>
  </si>
  <si>
    <t>900236ZZAAAH0000</t>
  </si>
  <si>
    <t>Re:Born Cashmere Fingerless Gloves, Orange, O/S</t>
  </si>
  <si>
    <t>900236ZZROBU0000</t>
  </si>
  <si>
    <t>Re:Born Cashmere Fingerless Gloves, Royal Blue, O/S</t>
  </si>
  <si>
    <t>Re:Born Reverse  Beanie, Black And Light Grey, O/S</t>
  </si>
  <si>
    <t>Re:Born  Reversible Cashmere Snood, Black And Dark Grey, O/S</t>
  </si>
  <si>
    <t>Re:Bron Reversible Cashmere Beanie, Baby Pink And Cream, O/S</t>
  </si>
  <si>
    <t>RE:Born 2 Pack Gloves, Black And Caramel, O/S</t>
  </si>
  <si>
    <t>Re:Born Cashmere Gloves, Deep Matcha Green, One Size</t>
  </si>
  <si>
    <t>Style Code</t>
  </si>
  <si>
    <t>Colour Code</t>
  </si>
  <si>
    <t>Option</t>
  </si>
  <si>
    <t>Category</t>
  </si>
  <si>
    <t>Material</t>
  </si>
  <si>
    <t>Style</t>
  </si>
  <si>
    <t>Range</t>
  </si>
  <si>
    <t>Colour</t>
  </si>
  <si>
    <t>Size</t>
  </si>
  <si>
    <t>Landed Cost Price</t>
  </si>
  <si>
    <t>Agreed GBP RRP</t>
  </si>
  <si>
    <t>Vat</t>
  </si>
  <si>
    <t>Net RRP</t>
  </si>
  <si>
    <t>Margin</t>
  </si>
  <si>
    <t>Fingerless Gloves</t>
  </si>
  <si>
    <t>Cashmere</t>
  </si>
  <si>
    <t>Cashmere Fingerless Gloves</t>
  </si>
  <si>
    <t>Core</t>
  </si>
  <si>
    <t>AUBE</t>
  </si>
  <si>
    <t>900196AUBE</t>
  </si>
  <si>
    <t>Aubergine</t>
  </si>
  <si>
    <t>900000ZZAUBE0000</t>
  </si>
  <si>
    <t>One Size</t>
  </si>
  <si>
    <t>Cashmere Fingerless Gloves Aubergine</t>
  </si>
  <si>
    <t>Quantity Avilable</t>
  </si>
  <si>
    <t>Cost Price</t>
  </si>
  <si>
    <t>RRP</t>
  </si>
  <si>
    <t>Country of Origin</t>
  </si>
  <si>
    <t>Dubai</t>
  </si>
  <si>
    <t>?</t>
  </si>
  <si>
    <t>Re:Born Cashmere Headband</t>
  </si>
  <si>
    <t>Re:Born Reversible Cashmere Beanie</t>
  </si>
  <si>
    <t xml:space="preserve"> Re:Born Reversible Cashmere Snood</t>
  </si>
  <si>
    <t>Re:Born Snood &amp; Glove Set</t>
  </si>
  <si>
    <t>Re:Born Beanie &amp; Glove Set</t>
  </si>
  <si>
    <t xml:space="preserve">Re:Born Cashmere Fingerless Gloves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</si>
</sst>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&quot;£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8"/>
      <name val="Tahoma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44" fontId="5" fillId="2" borderId="0" xfId="1" applyFont="1" applyFill="1" applyAlignment="1">
      <alignment wrapText="1"/>
    </xf>
    <xf numFmtId="2" fontId="0" fillId="2" borderId="0" xfId="0" applyNumberFormat="1" applyFill="1" applyAlignment="1">
      <alignment wrapText="1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44" fontId="0" fillId="3" borderId="0" xfId="1" applyFont="1" applyFill="1"/>
    <xf numFmtId="44" fontId="0" fillId="0" borderId="0" xfId="1" applyFont="1"/>
    <xf numFmtId="2" fontId="0" fillId="0" borderId="0" xfId="0" applyNumberFormat="1"/>
    <xf numFmtId="0" fontId="7" fillId="0" borderId="0" xfId="0" applyFont="1"/>
    <xf numFmtId="0" fontId="8" fillId="0" borderId="0" xfId="0" applyFont="1"/>
    <xf numFmtId="0" fontId="5" fillId="3" borderId="0" xfId="2" applyFill="1" applyAlignment="1">
      <alignment horizontal="left"/>
    </xf>
    <xf numFmtId="165" fontId="5" fillId="3" borderId="0" xfId="2" applyNumberFormat="1" applyFill="1" applyAlignment="1">
      <alignment horizontal="left"/>
    </xf>
    <xf numFmtId="0" fontId="5" fillId="0" borderId="0" xfId="2" applyAlignment="1">
      <alignment horizontal="left"/>
    </xf>
    <xf numFmtId="165" fontId="5" fillId="0" borderId="0" xfId="2" applyNumberFormat="1" applyAlignment="1">
      <alignment horizontal="left"/>
    </xf>
    <xf numFmtId="165" fontId="0" fillId="0" borderId="0" xfId="3" applyNumberFormat="1" applyFont="1" applyAlignment="1">
      <alignment horizontal="left"/>
    </xf>
    <xf numFmtId="164" fontId="0" fillId="0" borderId="0" xfId="4" applyNumberFormat="1" applyFont="1"/>
    <xf numFmtId="0" fontId="0" fillId="0" borderId="0" xfId="0" applyAlignment="1">
      <alignment horizontal="right"/>
    </xf>
    <xf numFmtId="0" fontId="3" fillId="0" borderId="0" xfId="0" applyFont="1"/>
    <xf numFmtId="0" fontId="9" fillId="0" borderId="0" xfId="0" applyFont="1"/>
    <xf numFmtId="0" fontId="4" fillId="0" borderId="0" xfId="0" applyFont="1" applyAlignment="1">
      <alignment horizontal="right"/>
    </xf>
  </cellXfs>
  <cellStyles count="6">
    <cellStyle name="Comma 2" xfId="4" xr:uid="{F8A5D805-4871-4B40-BE21-CD365C43DC8E}"/>
    <cellStyle name="Currency" xfId="1" builtinId="4"/>
    <cellStyle name="Currency 2" xfId="3" xr:uid="{8502C4F7-26E7-43D3-AAF5-45EA5E3E81EA}"/>
    <cellStyle name="Normal" xfId="0" builtinId="0"/>
    <cellStyle name="Normal 2" xfId="2" xr:uid="{E51A6BEE-1E08-4822-934B-DCAB47E1ABE1}"/>
    <cellStyle name="Per cent 2" xfId="5" xr:uid="{9FC1ABA3-A29F-4649-BBE1-6BF6B451E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4A2B-47C0-46C5-9D00-1CA92B4C13D6}">
  <dimension ref="A1:BE61"/>
  <sheetViews>
    <sheetView tabSelected="1" zoomScale="50" zoomScaleNormal="50" workbookViewId="0">
      <selection activeCell="G19" sqref="G19"/>
    </sheetView>
  </sheetViews>
  <sheetFormatPr defaultRowHeight="15" x14ac:dyDescent="0.2"/>
  <cols>
    <col min="1" max="1" width="18.5625" bestFit="1" customWidth="1"/>
    <col min="2" max="2" width="11.296875" bestFit="1" customWidth="1"/>
    <col min="3" max="3" width="12.77734375" bestFit="1" customWidth="1"/>
    <col min="4" max="4" width="13.1796875" bestFit="1" customWidth="1"/>
    <col min="5" max="5" width="18.4296875" bestFit="1" customWidth="1"/>
    <col min="6" max="6" width="10.76171875" bestFit="1" customWidth="1"/>
    <col min="7" max="7" width="29.19140625" bestFit="1" customWidth="1"/>
    <col min="8" max="8" width="7.3984375" bestFit="1" customWidth="1"/>
    <col min="9" max="9" width="9.953125" bestFit="1" customWidth="1"/>
    <col min="10" max="10" width="8.875" bestFit="1" customWidth="1"/>
    <col min="11" max="11" width="66.5859375" bestFit="1" customWidth="1"/>
    <col min="12" max="12" width="9.4140625" customWidth="1"/>
  </cols>
  <sheetData>
    <row r="1" spans="1:57" s="5" customFormat="1" ht="36" x14ac:dyDescent="0.2">
      <c r="A1" s="3" t="s">
        <v>0</v>
      </c>
      <c r="B1" s="4" t="s">
        <v>107</v>
      </c>
      <c r="C1" s="3" t="s">
        <v>108</v>
      </c>
      <c r="D1" s="3" t="s">
        <v>109</v>
      </c>
      <c r="E1" s="5" t="s">
        <v>110</v>
      </c>
      <c r="F1" s="6" t="s">
        <v>111</v>
      </c>
      <c r="G1" s="5" t="s">
        <v>112</v>
      </c>
      <c r="H1" s="5" t="s">
        <v>113</v>
      </c>
      <c r="I1" s="7" t="s">
        <v>114</v>
      </c>
      <c r="J1" s="8" t="s">
        <v>115</v>
      </c>
      <c r="K1" s="5" t="s">
        <v>1</v>
      </c>
      <c r="L1" s="5" t="s">
        <v>131</v>
      </c>
      <c r="M1" s="9" t="s">
        <v>116</v>
      </c>
      <c r="N1" s="9" t="s">
        <v>117</v>
      </c>
      <c r="O1" s="10" t="s">
        <v>118</v>
      </c>
      <c r="P1" s="9" t="s">
        <v>119</v>
      </c>
      <c r="Q1" s="6" t="s">
        <v>120</v>
      </c>
    </row>
    <row r="2" spans="1:57" x14ac:dyDescent="0.2">
      <c r="A2" t="s">
        <v>128</v>
      </c>
      <c r="B2" s="11">
        <v>900000</v>
      </c>
      <c r="C2" t="s">
        <v>125</v>
      </c>
      <c r="D2" t="s">
        <v>126</v>
      </c>
      <c r="E2" t="s">
        <v>121</v>
      </c>
      <c r="F2" t="s">
        <v>122</v>
      </c>
      <c r="G2" t="s">
        <v>123</v>
      </c>
      <c r="H2" s="12" t="s">
        <v>124</v>
      </c>
      <c r="I2" s="13" t="s">
        <v>127</v>
      </c>
      <c r="J2" s="18" t="s">
        <v>129</v>
      </c>
      <c r="K2" s="14" t="s">
        <v>130</v>
      </c>
      <c r="L2" s="14">
        <v>0</v>
      </c>
      <c r="M2" s="15">
        <v>6.95</v>
      </c>
      <c r="N2" s="15">
        <v>39</v>
      </c>
      <c r="O2" s="17">
        <v>1.2</v>
      </c>
      <c r="P2" s="16">
        <f>SUM(N2/O2)</f>
        <v>32.5</v>
      </c>
      <c r="Q2" s="25">
        <f>((N2/O2)-M2)/(N2/O2)</f>
        <v>0.7861538461538462</v>
      </c>
      <c r="Y2" s="19"/>
      <c r="Z2" s="19"/>
    </row>
    <row r="3" spans="1:57" x14ac:dyDescent="0.2">
      <c r="A3" t="s">
        <v>2</v>
      </c>
      <c r="K3" t="s">
        <v>3</v>
      </c>
      <c r="L3">
        <v>6600</v>
      </c>
    </row>
    <row r="4" spans="1:57" x14ac:dyDescent="0.2">
      <c r="A4" t="s">
        <v>4</v>
      </c>
      <c r="K4" t="s">
        <v>5</v>
      </c>
      <c r="L4">
        <v>3605</v>
      </c>
    </row>
    <row r="5" spans="1:57" x14ac:dyDescent="0.2">
      <c r="A5" s="2" t="s">
        <v>4</v>
      </c>
      <c r="B5" s="2"/>
      <c r="C5" s="2"/>
      <c r="K5" s="2" t="s">
        <v>5</v>
      </c>
      <c r="L5" s="2">
        <v>3605</v>
      </c>
    </row>
    <row r="6" spans="1:57" x14ac:dyDescent="0.2">
      <c r="A6" t="s">
        <v>6</v>
      </c>
      <c r="K6" t="s">
        <v>7</v>
      </c>
      <c r="L6">
        <v>3599</v>
      </c>
    </row>
    <row r="7" spans="1:57" x14ac:dyDescent="0.2">
      <c r="A7" s="2" t="s">
        <v>6</v>
      </c>
      <c r="B7" s="2"/>
      <c r="C7" s="2"/>
      <c r="K7" s="2" t="s">
        <v>7</v>
      </c>
      <c r="L7" s="2">
        <v>3599</v>
      </c>
    </row>
    <row r="8" spans="1:57" x14ac:dyDescent="0.2">
      <c r="A8" t="s">
        <v>8</v>
      </c>
      <c r="K8" t="s">
        <v>9</v>
      </c>
      <c r="L8">
        <v>3018</v>
      </c>
    </row>
    <row r="9" spans="1:57" x14ac:dyDescent="0.2">
      <c r="A9" t="s">
        <v>10</v>
      </c>
      <c r="K9" s="27" t="s">
        <v>11</v>
      </c>
      <c r="L9">
        <v>1302</v>
      </c>
    </row>
    <row r="10" spans="1:57" x14ac:dyDescent="0.2">
      <c r="A10" t="s">
        <v>12</v>
      </c>
      <c r="D10" s="1"/>
      <c r="E10" s="1"/>
      <c r="F10" s="1"/>
      <c r="G10" s="1"/>
      <c r="H10" s="1"/>
      <c r="I10" s="1"/>
      <c r="J10" s="1"/>
      <c r="K10" t="s">
        <v>13</v>
      </c>
      <c r="L10">
        <v>1036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">
      <c r="A11" t="s">
        <v>14</v>
      </c>
      <c r="K11" t="s">
        <v>15</v>
      </c>
      <c r="L11">
        <v>991</v>
      </c>
    </row>
    <row r="12" spans="1:57" x14ac:dyDescent="0.2">
      <c r="A12" t="s">
        <v>16</v>
      </c>
      <c r="D12" s="1"/>
      <c r="E12" s="1"/>
      <c r="F12" s="1"/>
      <c r="G12" s="1"/>
      <c r="H12" s="1"/>
      <c r="I12" s="1"/>
      <c r="J12" s="1"/>
      <c r="K12" t="s">
        <v>17</v>
      </c>
      <c r="L12">
        <v>988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">
      <c r="A13" t="s">
        <v>18</v>
      </c>
      <c r="K13" t="s">
        <v>19</v>
      </c>
      <c r="L13">
        <v>800</v>
      </c>
    </row>
    <row r="14" spans="1:57" x14ac:dyDescent="0.2">
      <c r="A14" t="s">
        <v>20</v>
      </c>
      <c r="K14" t="s">
        <v>21</v>
      </c>
      <c r="L14">
        <v>740</v>
      </c>
    </row>
    <row r="15" spans="1:57" x14ac:dyDescent="0.2">
      <c r="A15" t="s">
        <v>22</v>
      </c>
      <c r="K15" t="s">
        <v>23</v>
      </c>
      <c r="L15">
        <v>736</v>
      </c>
    </row>
    <row r="16" spans="1:57" x14ac:dyDescent="0.2">
      <c r="A16" t="s">
        <v>24</v>
      </c>
      <c r="K16" t="s">
        <v>25</v>
      </c>
      <c r="L16">
        <v>624</v>
      </c>
    </row>
    <row r="17" spans="1:12" x14ac:dyDescent="0.2">
      <c r="A17" t="s">
        <v>26</v>
      </c>
      <c r="K17" t="s">
        <v>27</v>
      </c>
      <c r="L17">
        <v>598</v>
      </c>
    </row>
    <row r="18" spans="1:12" x14ac:dyDescent="0.2">
      <c r="A18" s="2" t="s">
        <v>26</v>
      </c>
      <c r="B18" s="2"/>
      <c r="C18" s="2"/>
      <c r="K18" s="2" t="s">
        <v>106</v>
      </c>
      <c r="L18" s="2">
        <v>598</v>
      </c>
    </row>
    <row r="19" spans="1:12" x14ac:dyDescent="0.2">
      <c r="A19" t="s">
        <v>28</v>
      </c>
      <c r="K19" s="26" t="s">
        <v>29</v>
      </c>
      <c r="L19">
        <v>534</v>
      </c>
    </row>
    <row r="20" spans="1:12" x14ac:dyDescent="0.2">
      <c r="A20" t="s">
        <v>30</v>
      </c>
      <c r="K20" s="26" t="s">
        <v>31</v>
      </c>
      <c r="L20">
        <v>525</v>
      </c>
    </row>
    <row r="21" spans="1:12" x14ac:dyDescent="0.2">
      <c r="A21" t="s">
        <v>32</v>
      </c>
      <c r="K21" s="26" t="s">
        <v>33</v>
      </c>
      <c r="L21">
        <v>445</v>
      </c>
    </row>
    <row r="22" spans="1:12" x14ac:dyDescent="0.2">
      <c r="A22" t="s">
        <v>34</v>
      </c>
      <c r="K22" s="26" t="s">
        <v>35</v>
      </c>
      <c r="L22">
        <v>418</v>
      </c>
    </row>
    <row r="23" spans="1:12" x14ac:dyDescent="0.2">
      <c r="A23" t="s">
        <v>36</v>
      </c>
      <c r="K23" s="26" t="s">
        <v>37</v>
      </c>
      <c r="L23">
        <v>377</v>
      </c>
    </row>
    <row r="24" spans="1:12" x14ac:dyDescent="0.2">
      <c r="A24" s="28" t="s">
        <v>38</v>
      </c>
      <c r="K24" t="s">
        <v>39</v>
      </c>
      <c r="L24">
        <v>365</v>
      </c>
    </row>
    <row r="25" spans="1:12" x14ac:dyDescent="0.2">
      <c r="A25" t="s">
        <v>40</v>
      </c>
      <c r="K25" t="s">
        <v>41</v>
      </c>
      <c r="L25">
        <v>355</v>
      </c>
    </row>
    <row r="26" spans="1:12" x14ac:dyDescent="0.2">
      <c r="A26" t="s">
        <v>60</v>
      </c>
      <c r="K26" t="s">
        <v>61</v>
      </c>
      <c r="L26">
        <v>121</v>
      </c>
    </row>
    <row r="27" spans="1:12" x14ac:dyDescent="0.2">
      <c r="A27" t="s">
        <v>62</v>
      </c>
      <c r="K27" t="s">
        <v>63</v>
      </c>
      <c r="L27">
        <v>117</v>
      </c>
    </row>
    <row r="28" spans="1:12" x14ac:dyDescent="0.2">
      <c r="A28" t="s">
        <v>64</v>
      </c>
      <c r="K28" t="s">
        <v>65</v>
      </c>
      <c r="L28">
        <v>98</v>
      </c>
    </row>
    <row r="29" spans="1:12" x14ac:dyDescent="0.2">
      <c r="A29" t="s">
        <v>66</v>
      </c>
      <c r="K29" t="s">
        <v>67</v>
      </c>
      <c r="L29">
        <v>81</v>
      </c>
    </row>
    <row r="30" spans="1:12" x14ac:dyDescent="0.2">
      <c r="A30" t="s">
        <v>72</v>
      </c>
      <c r="K30" t="s">
        <v>73</v>
      </c>
      <c r="L30">
        <v>41</v>
      </c>
    </row>
    <row r="31" spans="1:12" x14ac:dyDescent="0.2">
      <c r="A31" s="2" t="s">
        <v>72</v>
      </c>
      <c r="B31" s="2"/>
      <c r="C31" s="2"/>
      <c r="K31" s="2" t="s">
        <v>105</v>
      </c>
      <c r="L31" s="2">
        <v>41</v>
      </c>
    </row>
    <row r="32" spans="1:12" x14ac:dyDescent="0.2">
      <c r="A32" t="s">
        <v>74</v>
      </c>
      <c r="K32" t="s">
        <v>75</v>
      </c>
      <c r="L32">
        <v>41</v>
      </c>
    </row>
    <row r="33" spans="1:57" x14ac:dyDescent="0.2">
      <c r="A33" t="s">
        <v>80</v>
      </c>
      <c r="K33" t="s">
        <v>81</v>
      </c>
      <c r="L33">
        <v>33</v>
      </c>
    </row>
    <row r="34" spans="1:57" x14ac:dyDescent="0.2">
      <c r="A34" t="s">
        <v>82</v>
      </c>
      <c r="K34" t="s">
        <v>83</v>
      </c>
      <c r="L34">
        <v>30</v>
      </c>
    </row>
    <row r="35" spans="1:57" x14ac:dyDescent="0.2">
      <c r="A35" t="s">
        <v>86</v>
      </c>
      <c r="K35" t="s">
        <v>87</v>
      </c>
      <c r="L35">
        <v>13</v>
      </c>
    </row>
    <row r="36" spans="1:57" x14ac:dyDescent="0.2">
      <c r="A36" s="2" t="s">
        <v>90</v>
      </c>
      <c r="B36" s="2"/>
      <c r="C36" s="2"/>
      <c r="K36" s="29" t="s">
        <v>103</v>
      </c>
      <c r="L36" s="2">
        <v>11</v>
      </c>
    </row>
    <row r="37" spans="1:57" x14ac:dyDescent="0.2">
      <c r="A37" s="2" t="s">
        <v>88</v>
      </c>
      <c r="B37" s="2"/>
      <c r="C37" s="2"/>
      <c r="K37" s="2" t="s">
        <v>102</v>
      </c>
      <c r="L37" s="2">
        <v>11</v>
      </c>
    </row>
    <row r="38" spans="1:57" x14ac:dyDescent="0.2">
      <c r="A38" t="s">
        <v>88</v>
      </c>
      <c r="K38" t="s">
        <v>89</v>
      </c>
      <c r="L38">
        <v>11</v>
      </c>
    </row>
    <row r="39" spans="1:57" x14ac:dyDescent="0.2">
      <c r="A39" t="s">
        <v>98</v>
      </c>
      <c r="K39" t="s">
        <v>99</v>
      </c>
      <c r="L39">
        <v>7</v>
      </c>
    </row>
    <row r="40" spans="1:57" x14ac:dyDescent="0.2">
      <c r="A40" t="s">
        <v>100</v>
      </c>
      <c r="D40" s="1"/>
      <c r="E40" s="1"/>
      <c r="F40" s="1"/>
      <c r="G40" s="1"/>
      <c r="H40" s="1"/>
      <c r="I40" s="1"/>
      <c r="J40" s="1"/>
      <c r="K40" t="s">
        <v>101</v>
      </c>
      <c r="L40"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2" spans="1:57" x14ac:dyDescent="0.2">
      <c r="A42" t="s">
        <v>68</v>
      </c>
      <c r="K42" t="s">
        <v>69</v>
      </c>
      <c r="L42">
        <v>55</v>
      </c>
    </row>
    <row r="43" spans="1:57" x14ac:dyDescent="0.2">
      <c r="A43" t="s">
        <v>70</v>
      </c>
      <c r="K43" t="s">
        <v>71</v>
      </c>
      <c r="L43">
        <v>49</v>
      </c>
    </row>
    <row r="44" spans="1:57" x14ac:dyDescent="0.2">
      <c r="A44" t="s">
        <v>96</v>
      </c>
      <c r="K44" t="s">
        <v>97</v>
      </c>
      <c r="L44">
        <v>7</v>
      </c>
    </row>
    <row r="45" spans="1:57" x14ac:dyDescent="0.2">
      <c r="A45" t="s">
        <v>84</v>
      </c>
      <c r="K45" t="s">
        <v>85</v>
      </c>
      <c r="L45">
        <v>26</v>
      </c>
    </row>
    <row r="46" spans="1:57" x14ac:dyDescent="0.2">
      <c r="A46" t="s">
        <v>92</v>
      </c>
      <c r="K46" t="s">
        <v>93</v>
      </c>
      <c r="L46">
        <v>10</v>
      </c>
    </row>
    <row r="47" spans="1:57" x14ac:dyDescent="0.2">
      <c r="A47" t="s">
        <v>90</v>
      </c>
      <c r="K47" t="s">
        <v>91</v>
      </c>
      <c r="L47">
        <v>11</v>
      </c>
    </row>
    <row r="48" spans="1:57" s="1" customFormat="1" x14ac:dyDescent="0.2">
      <c r="A48" t="s">
        <v>58</v>
      </c>
      <c r="B48"/>
      <c r="C48"/>
      <c r="D48"/>
      <c r="E48"/>
      <c r="F48"/>
      <c r="G48"/>
      <c r="H48"/>
      <c r="I48"/>
      <c r="J48"/>
      <c r="K48" t="s">
        <v>59</v>
      </c>
      <c r="L48">
        <v>128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s="1" customFormat="1" x14ac:dyDescent="0.2">
      <c r="A49" t="s">
        <v>50</v>
      </c>
      <c r="B49"/>
      <c r="C49"/>
      <c r="D49"/>
      <c r="E49"/>
      <c r="F49"/>
      <c r="G49"/>
      <c r="H49"/>
      <c r="I49"/>
      <c r="J49"/>
      <c r="K49" t="s">
        <v>51</v>
      </c>
      <c r="L49">
        <v>138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s="1" customFormat="1" x14ac:dyDescent="0.2">
      <c r="A50" t="s">
        <v>94</v>
      </c>
      <c r="B50"/>
      <c r="C50"/>
      <c r="D50"/>
      <c r="E50"/>
      <c r="F50"/>
      <c r="G50"/>
      <c r="H50"/>
      <c r="I50"/>
      <c r="J50"/>
      <c r="K50" t="s">
        <v>95</v>
      </c>
      <c r="L50">
        <v>10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 s="1" customFormat="1" x14ac:dyDescent="0.2">
      <c r="A51" t="s">
        <v>78</v>
      </c>
      <c r="B51"/>
      <c r="C51"/>
      <c r="D51"/>
      <c r="E51"/>
      <c r="F51"/>
      <c r="G51"/>
      <c r="H51"/>
      <c r="I51"/>
      <c r="J51"/>
      <c r="K51" t="s">
        <v>79</v>
      </c>
      <c r="L51">
        <v>34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s="1" customFormat="1" x14ac:dyDescent="0.2">
      <c r="A52" t="s">
        <v>76</v>
      </c>
      <c r="B52"/>
      <c r="C52"/>
      <c r="D52"/>
      <c r="E52"/>
      <c r="F52"/>
      <c r="G52"/>
      <c r="H52"/>
      <c r="I52"/>
      <c r="J52"/>
      <c r="K52" t="s">
        <v>77</v>
      </c>
      <c r="L52">
        <v>35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x14ac:dyDescent="0.2">
      <c r="A53" s="2" t="s">
        <v>70</v>
      </c>
      <c r="B53" s="2"/>
      <c r="C53" s="2"/>
      <c r="K53" s="2" t="s">
        <v>104</v>
      </c>
      <c r="L53" s="2">
        <v>49</v>
      </c>
    </row>
    <row r="54" spans="1:57" x14ac:dyDescent="0.2">
      <c r="A54" t="s">
        <v>42</v>
      </c>
      <c r="K54" t="s">
        <v>43</v>
      </c>
      <c r="L54">
        <v>277</v>
      </c>
    </row>
    <row r="55" spans="1:57" x14ac:dyDescent="0.2">
      <c r="A55" t="s">
        <v>44</v>
      </c>
      <c r="K55" t="s">
        <v>45</v>
      </c>
      <c r="L55">
        <v>230</v>
      </c>
    </row>
    <row r="56" spans="1:57" x14ac:dyDescent="0.2">
      <c r="A56" t="s">
        <v>46</v>
      </c>
      <c r="D56" s="1"/>
      <c r="E56" s="1"/>
      <c r="F56" s="1"/>
      <c r="G56" s="1"/>
      <c r="H56" s="1"/>
      <c r="I56" s="1"/>
      <c r="J56" s="1"/>
      <c r="K56" t="s">
        <v>47</v>
      </c>
      <c r="L56">
        <v>229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">
      <c r="A57" t="s">
        <v>48</v>
      </c>
      <c r="K57" t="s">
        <v>49</v>
      </c>
      <c r="L57">
        <v>161</v>
      </c>
    </row>
    <row r="58" spans="1:57" x14ac:dyDescent="0.2">
      <c r="A58" t="s">
        <v>52</v>
      </c>
      <c r="K58" t="s">
        <v>53</v>
      </c>
      <c r="L58">
        <v>138</v>
      </c>
    </row>
    <row r="59" spans="1:57" x14ac:dyDescent="0.2">
      <c r="A59" s="2" t="s">
        <v>52</v>
      </c>
      <c r="B59" s="2"/>
      <c r="C59" s="2"/>
      <c r="K59" s="2" t="s">
        <v>53</v>
      </c>
      <c r="L59" s="2">
        <v>138</v>
      </c>
    </row>
    <row r="60" spans="1:57" x14ac:dyDescent="0.2">
      <c r="A60" t="s">
        <v>54</v>
      </c>
      <c r="D60" s="1"/>
      <c r="E60" s="1"/>
      <c r="F60" s="1"/>
      <c r="G60" s="1"/>
      <c r="H60" s="1"/>
      <c r="I60" s="1"/>
      <c r="J60" s="1"/>
      <c r="K60" t="s">
        <v>55</v>
      </c>
      <c r="L60">
        <v>137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">
      <c r="A61" t="s">
        <v>56</v>
      </c>
      <c r="K61" t="s">
        <v>57</v>
      </c>
      <c r="L61">
        <v>135</v>
      </c>
    </row>
  </sheetData>
  <autoFilter ref="A1:BE1" xr:uid="{D1294A2B-47C0-46C5-9D00-1CA92B4C13D6}">
    <sortState xmlns:xlrd2="http://schemas.microsoft.com/office/spreadsheetml/2017/richdata2" ref="A2:BE48">
      <sortCondition descending="1" ref="L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8E0D-C173-4D60-87A5-F3E62F726FDD}">
  <dimension ref="A1:E7"/>
  <sheetViews>
    <sheetView workbookViewId="0">
      <selection activeCell="C8" sqref="C8"/>
    </sheetView>
  </sheetViews>
  <sheetFormatPr defaultColWidth="21.7890625" defaultRowHeight="12.75" x14ac:dyDescent="0.15"/>
  <cols>
    <col min="1" max="1" width="40.22265625" style="22" customWidth="1"/>
    <col min="2" max="2" width="21.7890625" style="23"/>
    <col min="3" max="16384" width="21.7890625" style="22"/>
  </cols>
  <sheetData>
    <row r="1" spans="1:5" x14ac:dyDescent="0.15">
      <c r="A1" s="20" t="s">
        <v>1</v>
      </c>
      <c r="B1" s="21" t="s">
        <v>132</v>
      </c>
      <c r="C1" s="20" t="s">
        <v>133</v>
      </c>
      <c r="D1" s="20" t="s">
        <v>118</v>
      </c>
      <c r="E1" s="20" t="s">
        <v>134</v>
      </c>
    </row>
    <row r="2" spans="1:5" x14ac:dyDescent="0.15">
      <c r="A2" s="22" t="s">
        <v>137</v>
      </c>
      <c r="B2" s="23">
        <v>7.1</v>
      </c>
      <c r="C2" s="22">
        <v>25</v>
      </c>
      <c r="D2" s="22">
        <v>1.2</v>
      </c>
      <c r="E2" s="22" t="s">
        <v>135</v>
      </c>
    </row>
    <row r="3" spans="1:5" ht="15" x14ac:dyDescent="0.2">
      <c r="A3" s="22" t="s">
        <v>138</v>
      </c>
      <c r="B3" s="24">
        <v>9.1</v>
      </c>
      <c r="C3" s="22">
        <v>39</v>
      </c>
      <c r="D3" s="22">
        <v>1.2</v>
      </c>
      <c r="E3" s="22" t="s">
        <v>135</v>
      </c>
    </row>
    <row r="4" spans="1:5" x14ac:dyDescent="0.15">
      <c r="A4" s="22" t="s">
        <v>139</v>
      </c>
      <c r="B4" s="23">
        <v>9.1</v>
      </c>
      <c r="C4" s="22">
        <v>42</v>
      </c>
      <c r="D4" s="22">
        <v>1.2</v>
      </c>
      <c r="E4" s="22" t="s">
        <v>135</v>
      </c>
    </row>
    <row r="5" spans="1:5" x14ac:dyDescent="0.15">
      <c r="A5" s="22" t="s">
        <v>140</v>
      </c>
      <c r="B5" s="23">
        <v>17.2</v>
      </c>
      <c r="C5" s="22" t="s">
        <v>136</v>
      </c>
      <c r="D5" s="22">
        <v>1.2</v>
      </c>
      <c r="E5" s="22" t="s">
        <v>135</v>
      </c>
    </row>
    <row r="6" spans="1:5" x14ac:dyDescent="0.15">
      <c r="A6" s="22" t="s">
        <v>141</v>
      </c>
      <c r="B6" s="23">
        <v>17.2</v>
      </c>
      <c r="C6" s="22" t="s">
        <v>136</v>
      </c>
      <c r="D6" s="22">
        <v>1.2</v>
      </c>
      <c r="E6" s="22" t="s">
        <v>135</v>
      </c>
    </row>
    <row r="7" spans="1:5" x14ac:dyDescent="0.15">
      <c r="A7" s="22" t="s">
        <v>142</v>
      </c>
      <c r="B7" s="23">
        <v>8.1999999999999993</v>
      </c>
      <c r="C7" s="22">
        <v>39</v>
      </c>
      <c r="D7" s="22">
        <v>1.2</v>
      </c>
      <c r="E7" s="22" t="s">
        <v>135</v>
      </c>
    </row>
  </sheetData>
  <autoFilter ref="A1:E7" xr:uid="{010B8E34-2058-4E75-9508-BB77C127B92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6eebb1-6720-4e90-82eb-094ecf43c229}" enabled="0" method="" siteId="{156eebb1-6720-4e90-82eb-094ecf43c2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ReBorn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Baird - Turtle Doves</dc:creator>
  <cp:lastModifiedBy>Kim-Marie Button - Frugi</cp:lastModifiedBy>
  <dcterms:created xsi:type="dcterms:W3CDTF">2026-04-23T07:40:48Z</dcterms:created>
  <dcterms:modified xsi:type="dcterms:W3CDTF">2026-05-27T04:07:20Z</dcterms:modified>
</cp:coreProperties>
</file>