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Data Sheet" sheetId="1" state="visible" r:id="rId1"/>
    <sheet name="ReBorn" sheetId="2" state="visible" r:id="rId2"/>
    <sheet name="Summary" sheetId="3" state="visible" r:id="rId3"/>
    <sheet name="Cleaning Log" sheetId="4" state="visible" r:id="rId4"/>
  </sheets>
  <definedNames>
    <definedName name="_xlnm._FilterDatabase" localSheetId="0" hidden="1">'Data Sheet'!$A$1:$BE$1</definedName>
    <definedName name="_xlnm._FilterDatabase" localSheetId="1" hidden="1">'ReBorn'!$A$1:$E$7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£&quot;* #,##0.00_-;\-&quot;£&quot;* #,##0.00_-;_-&quot;£&quot;* &quot;-&quot;??_-;_-@_-"/>
    <numFmt numFmtId="165" formatCode="&quot;£&quot;#,##0.00"/>
    <numFmt numFmtId="166" formatCode="0.0%"/>
  </numFmts>
  <fonts count="1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name val="Arial"/>
      <family val="2"/>
      <color rgb="FF000000"/>
      <sz val="10"/>
    </font>
    <font>
      <name val="Arial"/>
      <family val="2"/>
      <color rgb="FFFF0000"/>
      <sz val="10"/>
    </font>
    <font>
      <name val="Arial"/>
      <family val="2"/>
      <sz val="10"/>
    </font>
    <font>
      <name val="Tahoma"/>
      <family val="2"/>
      <sz val="8"/>
    </font>
    <font>
      <name val="Aptos Narrow"/>
      <family val="2"/>
      <i val="1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6">
    <xf numFmtId="0" fontId="1" fillId="0" borderId="0"/>
    <xf numFmtId="44" fontId="1" fillId="0" borderId="0"/>
    <xf numFmtId="0" fontId="5" fillId="0" borderId="0"/>
    <xf numFmtId="44" fontId="5" fillId="0" borderId="0"/>
    <xf numFmtId="43" fontId="5" fillId="0" borderId="0"/>
    <xf numFmtId="9" fontId="5" fillId="0" borderId="0"/>
  </cellStyleXfs>
  <cellXfs count="42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wrapText="1"/>
    </xf>
    <xf numFmtId="0" fontId="5" fillId="2" borderId="0" applyAlignment="1" pivotButton="0" quotePrefix="0" xfId="0">
      <alignment wrapText="1"/>
    </xf>
    <xf numFmtId="0" fontId="6" fillId="2" borderId="0" applyAlignment="1" pivotButton="0" quotePrefix="0" xfId="0">
      <alignment wrapText="1"/>
    </xf>
    <xf numFmtId="0" fontId="7" fillId="2" borderId="0" applyAlignment="1" pivotButton="0" quotePrefix="0" xfId="0">
      <alignment wrapText="1"/>
    </xf>
    <xf numFmtId="164" fontId="5" fillId="2" borderId="0" applyAlignment="1" pivotButton="0" quotePrefix="0" xfId="1">
      <alignment wrapText="1"/>
    </xf>
    <xf numFmtId="2" fontId="0" fillId="2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164" fontId="0" fillId="3" borderId="0" pivotButton="0" quotePrefix="0" xfId="1"/>
    <xf numFmtId="164" fontId="0" fillId="0" borderId="0" pivotButton="0" quotePrefix="0" xfId="1"/>
    <xf numFmtId="2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3" borderId="0" applyAlignment="1" pivotButton="0" quotePrefix="0" xfId="2">
      <alignment horizontal="left"/>
    </xf>
    <xf numFmtId="165" fontId="5" fillId="3" borderId="0" applyAlignment="1" pivotButton="0" quotePrefix="0" xfId="2">
      <alignment horizontal="left"/>
    </xf>
    <xf numFmtId="0" fontId="5" fillId="0" borderId="0" applyAlignment="1" pivotButton="0" quotePrefix="0" xfId="2">
      <alignment horizontal="left"/>
    </xf>
    <xf numFmtId="165" fontId="5" fillId="0" borderId="0" applyAlignment="1" pivotButton="0" quotePrefix="0" xfId="2">
      <alignment horizontal="left"/>
    </xf>
    <xf numFmtId="165" fontId="0" fillId="0" borderId="0" applyAlignment="1" pivotButton="0" quotePrefix="0" xfId="3">
      <alignment horizontal="left"/>
    </xf>
    <xf numFmtId="166" fontId="0" fillId="0" borderId="0" pivotButton="0" quotePrefix="0" xfId="4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9" fillId="0" borderId="0" pivotButton="0" quotePrefix="0" xfId="0"/>
    <xf numFmtId="0" fontId="4" fillId="0" borderId="0" applyAlignment="1" pivotButton="0" quotePrefix="0" xfId="0">
      <alignment horizontal="right"/>
    </xf>
    <xf numFmtId="164" fontId="5" fillId="2" borderId="0" applyAlignment="1" pivotButton="0" quotePrefix="0" xfId="1">
      <alignment wrapText="1"/>
    </xf>
    <xf numFmtId="164" fontId="0" fillId="3" borderId="0" pivotButton="0" quotePrefix="0" xfId="1"/>
    <xf numFmtId="164" fontId="0" fillId="0" borderId="0" pivotButton="0" quotePrefix="0" xfId="1"/>
    <xf numFmtId="166" fontId="0" fillId="0" borderId="0" pivotButton="0" quotePrefix="0" xfId="4"/>
    <xf numFmtId="0" fontId="0" fillId="4" borderId="0" pivotButton="0" quotePrefix="0" xfId="0"/>
    <xf numFmtId="0" fontId="2" fillId="4" borderId="0" pivotButton="0" quotePrefix="0" xfId="0"/>
    <xf numFmtId="0" fontId="10" fillId="0" borderId="0" pivotButton="0" quotePrefix="0" xfId="0"/>
    <xf numFmtId="0" fontId="11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1" fillId="5" borderId="0" pivotButton="0" quotePrefix="0" xfId="0"/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urrency" xfId="1" builtinId="4"/>
    <cellStyle name="Normal 2" xfId="2"/>
    <cellStyle name="Currency 2" xfId="3"/>
    <cellStyle name="Comma 2" xfId="4"/>
    <cellStyle name="Per cent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Data Administrator Task</author>
  </authors>
  <commentList>
    <comment ref="H3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4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5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6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7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8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9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10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11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12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13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14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15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16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17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18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19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20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21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22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23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24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N24" authorId="0" shapeId="0">
      <text>
        <t>RRP is literally marked '?' on the ReBorn reference tab for this product line - genuinely unconfirmed, not something that can be inferred. Needs pricing/marketing sign-off.</t>
      </text>
    </comment>
    <comment ref="H25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M25" authorId="0" shapeId="0">
      <text>
        <t>'2 Pack Gloves' (style 900235) has no matching entry at all on the ReBorn reference tab, so cost price is unknown. Needs sourcing from finance/buying.</t>
      </text>
    </comment>
    <comment ref="N25" authorId="0" shapeId="0">
      <text>
        <t>No reference RRP exists for 'Pack Gloves' on the ReBorn tab.</t>
      </text>
    </comment>
    <comment ref="H26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27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M27" authorId="0" shapeId="0">
      <text>
        <t>'2 Pack Gloves' (style 900235) has no matching entry at all on the ReBorn reference tab, so cost price is unknown. Needs sourcing from finance/buying.</t>
      </text>
    </comment>
    <comment ref="N27" authorId="0" shapeId="0">
      <text>
        <t>No reference RRP exists for 'Pack Gloves' on the ReBorn tab.</t>
      </text>
    </comment>
    <comment ref="H28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29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30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N30" authorId="0" shapeId="0">
      <text>
        <t>RRP is literally marked '?' on the ReBorn reference tab for this product line - genuinely unconfirmed, not something that can be inferred. Needs pricing/marketing sign-off.</t>
      </text>
    </comment>
    <comment ref="H31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32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33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34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35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36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37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38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39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40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41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42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43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44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45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N45" authorId="0" shapeId="0">
      <text>
        <t>RRP is literally marked '?' on the ReBorn reference tab for this product line - genuinely unconfirmed, not something that can be inferred. Needs pricing/marketing sign-off.</t>
      </text>
    </comment>
    <comment ref="H46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47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48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49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50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51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  <comment ref="H52" authorId="0" shapeId="0">
      <text>
        <t>No Range/Collection field exists anywhere in the source data (SKU, description, or reference sheet) for this product line, so it can't be derived. Flagged for the merchandising/buying team to confirm.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2"/>
  <sheetViews>
    <sheetView tabSelected="1" zoomScale="50" zoomScaleNormal="50" workbookViewId="0">
      <selection activeCell="G19" sqref="G19"/>
    </sheetView>
  </sheetViews>
  <sheetFormatPr baseColWidth="8" defaultRowHeight="15"/>
  <cols>
    <col width="20" bestFit="1" customWidth="1" min="1" max="1"/>
    <col width="12" bestFit="1" customWidth="1" min="2" max="2"/>
    <col width="12" bestFit="1" customWidth="1" min="3" max="3"/>
    <col width="16" bestFit="1" customWidth="1" min="4" max="4"/>
    <col width="18" bestFit="1" customWidth="1" min="5" max="5"/>
    <col width="10" bestFit="1" customWidth="1" min="6" max="6"/>
    <col width="24" bestFit="1" customWidth="1" min="7" max="7"/>
    <col width="10" bestFit="1" customWidth="1" min="8" max="8"/>
    <col width="16" bestFit="1" customWidth="1" min="9" max="9"/>
    <col width="10" bestFit="1" customWidth="1" min="10" max="10"/>
    <col width="44" bestFit="1" customWidth="1" min="11" max="11"/>
    <col width="10" customWidth="1" min="12" max="12"/>
    <col width="12" customWidth="1" min="13" max="13"/>
    <col width="12" customWidth="1" min="14" max="14"/>
    <col width="8" customWidth="1" min="15" max="15"/>
    <col width="10" customWidth="1" min="16" max="16"/>
    <col width="10" customWidth="1" min="17" max="17"/>
  </cols>
  <sheetData>
    <row r="1" ht="36" customFormat="1" customHeight="1" s="5">
      <c r="A1" s="3" t="inlineStr">
        <is>
          <t>Sku</t>
        </is>
      </c>
      <c r="B1" s="4" t="inlineStr">
        <is>
          <t>Style Code</t>
        </is>
      </c>
      <c r="C1" s="3" t="inlineStr">
        <is>
          <t>Colour Code</t>
        </is>
      </c>
      <c r="D1" s="3" t="inlineStr">
        <is>
          <t>Option</t>
        </is>
      </c>
      <c r="E1" s="5" t="inlineStr">
        <is>
          <t>Category</t>
        </is>
      </c>
      <c r="F1" s="6" t="inlineStr">
        <is>
          <t>Material</t>
        </is>
      </c>
      <c r="G1" s="5" t="inlineStr">
        <is>
          <t>Style</t>
        </is>
      </c>
      <c r="H1" s="5" t="inlineStr">
        <is>
          <t>Range</t>
        </is>
      </c>
      <c r="I1" s="7" t="inlineStr">
        <is>
          <t>Colour</t>
        </is>
      </c>
      <c r="J1" s="8" t="inlineStr">
        <is>
          <t>Size</t>
        </is>
      </c>
      <c r="K1" s="5" t="inlineStr">
        <is>
          <t>Description</t>
        </is>
      </c>
      <c r="L1" s="5" t="inlineStr">
        <is>
          <t>Quantity Avilable</t>
        </is>
      </c>
      <c r="M1" s="30" t="inlineStr">
        <is>
          <t>Landed Cost Price</t>
        </is>
      </c>
      <c r="N1" s="30" t="inlineStr">
        <is>
          <t>Agreed GBP RRP</t>
        </is>
      </c>
      <c r="O1" s="10" t="inlineStr">
        <is>
          <t>Vat</t>
        </is>
      </c>
      <c r="P1" s="30" t="inlineStr">
        <is>
          <t>Net RRP</t>
        </is>
      </c>
      <c r="Q1" s="6" t="inlineStr">
        <is>
          <t>Margin</t>
        </is>
      </c>
    </row>
    <row r="2">
      <c r="A2" t="inlineStr">
        <is>
          <t>900000ZZAUBE0000</t>
        </is>
      </c>
      <c r="B2" s="11" t="n">
        <v>900000</v>
      </c>
      <c r="C2" t="inlineStr">
        <is>
          <t>AUBE</t>
        </is>
      </c>
      <c r="D2" t="inlineStr">
        <is>
          <t>900196AUBE</t>
        </is>
      </c>
      <c r="E2" t="inlineStr">
        <is>
          <t>Fingerless Gloves</t>
        </is>
      </c>
      <c r="F2" t="inlineStr">
        <is>
          <t>Cashmere</t>
        </is>
      </c>
      <c r="G2" t="inlineStr">
        <is>
          <t>Cashmere Fingerless Gloves</t>
        </is>
      </c>
      <c r="H2" s="12" t="inlineStr">
        <is>
          <t>Core</t>
        </is>
      </c>
      <c r="I2" s="13" t="inlineStr">
        <is>
          <t>Aubergine</t>
        </is>
      </c>
      <c r="J2" s="18" t="inlineStr">
        <is>
          <t>One Size</t>
        </is>
      </c>
      <c r="K2" s="14" t="inlineStr">
        <is>
          <t>Cashmere Fingerless Gloves Aubergine</t>
        </is>
      </c>
      <c r="L2" s="14" t="n">
        <v>0</v>
      </c>
      <c r="M2" s="31" t="n">
        <v>6.95</v>
      </c>
      <c r="N2" s="31" t="n">
        <v>39</v>
      </c>
      <c r="O2" s="17" t="n">
        <v>1.2</v>
      </c>
      <c r="P2" s="32">
        <f>SUM(N2/O2)</f>
        <v/>
      </c>
      <c r="Q2" s="33">
        <f>((N2/O2)-M2)/(N2/O2)</f>
        <v/>
      </c>
      <c r="Y2" s="19" t="n"/>
      <c r="Z2" s="19" t="n"/>
    </row>
    <row r="3">
      <c r="A3" t="inlineStr">
        <is>
          <t>900236ZZBLCK0000</t>
        </is>
      </c>
      <c r="B3" t="n">
        <v>900236</v>
      </c>
      <c r="C3" t="inlineStr">
        <is>
          <t>BLCK</t>
        </is>
      </c>
      <c r="D3" t="inlineStr">
        <is>
          <t>900236BLCK</t>
        </is>
      </c>
      <c r="E3" t="inlineStr">
        <is>
          <t>Fingerless Gloves</t>
        </is>
      </c>
      <c r="F3" t="inlineStr">
        <is>
          <t>Cashmere</t>
        </is>
      </c>
      <c r="G3" t="inlineStr">
        <is>
          <t>Cashmere Fingerless Gloves</t>
        </is>
      </c>
      <c r="H3" s="34" t="inlineStr">
        <is>
          <t>TBC</t>
        </is>
      </c>
      <c r="I3" t="inlineStr">
        <is>
          <t>Black</t>
        </is>
      </c>
      <c r="J3" t="inlineStr">
        <is>
          <t>One Size</t>
        </is>
      </c>
      <c r="K3" t="inlineStr">
        <is>
          <t>Re:Born Cashmere Fingerless Gloves, Black, O/S</t>
        </is>
      </c>
      <c r="L3" t="n">
        <v>6600</v>
      </c>
      <c r="M3" t="n">
        <v>8.199999999999999</v>
      </c>
      <c r="N3" t="n">
        <v>39</v>
      </c>
      <c r="O3" t="n">
        <v>1.2</v>
      </c>
      <c r="P3">
        <f>N3/O3</f>
        <v/>
      </c>
      <c r="Q3">
        <f>((N3/O3)-M3)/(N3/O3)</f>
        <v/>
      </c>
    </row>
    <row r="4">
      <c r="A4" t="inlineStr">
        <is>
          <t>900236ZZLGRY0000</t>
        </is>
      </c>
      <c r="B4" t="n">
        <v>900236</v>
      </c>
      <c r="C4" t="inlineStr">
        <is>
          <t>LGRY</t>
        </is>
      </c>
      <c r="D4" t="inlineStr">
        <is>
          <t>900236LGRY</t>
        </is>
      </c>
      <c r="E4" t="inlineStr">
        <is>
          <t>Fingerless Gloves</t>
        </is>
      </c>
      <c r="F4" t="inlineStr">
        <is>
          <t>Cashmere</t>
        </is>
      </c>
      <c r="G4" t="inlineStr">
        <is>
          <t>Cashmere Fingerless Gloves</t>
        </is>
      </c>
      <c r="H4" s="34" t="inlineStr">
        <is>
          <t>TBC</t>
        </is>
      </c>
      <c r="I4" t="inlineStr">
        <is>
          <t>Light Grey</t>
        </is>
      </c>
      <c r="J4" t="inlineStr">
        <is>
          <t>One Size</t>
        </is>
      </c>
      <c r="K4" t="inlineStr">
        <is>
          <t>Re:Born Cashmere Fingerless Gloves, Light Grey, O/S</t>
        </is>
      </c>
      <c r="L4" t="n">
        <v>3605</v>
      </c>
      <c r="M4" t="n">
        <v>8.199999999999999</v>
      </c>
      <c r="N4" t="n">
        <v>39</v>
      </c>
      <c r="O4" t="n">
        <v>1.2</v>
      </c>
      <c r="P4">
        <f>N4/O4</f>
        <v/>
      </c>
      <c r="Q4">
        <f>((N4/O4)-M4)/(N4/O4)</f>
        <v/>
      </c>
    </row>
    <row r="5">
      <c r="A5" t="inlineStr">
        <is>
          <t>900236ZZDKGR0000</t>
        </is>
      </c>
      <c r="B5" t="n">
        <v>900236</v>
      </c>
      <c r="C5" t="inlineStr">
        <is>
          <t>DKGR</t>
        </is>
      </c>
      <c r="D5" t="inlineStr">
        <is>
          <t>900236DKGR</t>
        </is>
      </c>
      <c r="E5" t="inlineStr">
        <is>
          <t>Fingerless Gloves</t>
        </is>
      </c>
      <c r="F5" t="inlineStr">
        <is>
          <t>Cashmere</t>
        </is>
      </c>
      <c r="G5" t="inlineStr">
        <is>
          <t>Cashmere Fingerless Gloves</t>
        </is>
      </c>
      <c r="H5" s="34" t="inlineStr">
        <is>
          <t>TBC</t>
        </is>
      </c>
      <c r="I5" t="inlineStr">
        <is>
          <t>Dark Grey</t>
        </is>
      </c>
      <c r="J5" t="inlineStr">
        <is>
          <t>One Size</t>
        </is>
      </c>
      <c r="K5" t="inlineStr">
        <is>
          <t>Re:Born Cashmere Fingerless Gloves, Dark Grey, O/S</t>
        </is>
      </c>
      <c r="L5" t="n">
        <v>3599</v>
      </c>
      <c r="M5" t="n">
        <v>8.199999999999999</v>
      </c>
      <c r="N5" t="n">
        <v>39</v>
      </c>
      <c r="O5" t="n">
        <v>1.2</v>
      </c>
      <c r="P5">
        <f>N5/O5</f>
        <v/>
      </c>
      <c r="Q5">
        <f>((N5/O5)-M5)/(N5/O5)</f>
        <v/>
      </c>
    </row>
    <row r="6">
      <c r="A6" t="inlineStr">
        <is>
          <t>900236ZZLLBL0000</t>
        </is>
      </c>
      <c r="B6" t="n">
        <v>900236</v>
      </c>
      <c r="C6" t="inlineStr">
        <is>
          <t>LLBL</t>
        </is>
      </c>
      <c r="D6" t="inlineStr">
        <is>
          <t>900236LLBL</t>
        </is>
      </c>
      <c r="E6" t="inlineStr">
        <is>
          <t>Fingerless Gloves</t>
        </is>
      </c>
      <c r="F6" t="inlineStr">
        <is>
          <t>Cashmere</t>
        </is>
      </c>
      <c r="G6" t="inlineStr">
        <is>
          <t>Cashmere Fingerless Gloves</t>
        </is>
      </c>
      <c r="H6" s="34" t="inlineStr">
        <is>
          <t>TBC</t>
        </is>
      </c>
      <c r="I6" t="inlineStr">
        <is>
          <t>Light Beige</t>
        </is>
      </c>
      <c r="J6" t="inlineStr">
        <is>
          <t>One Size</t>
        </is>
      </c>
      <c r="K6" t="inlineStr">
        <is>
          <t>Re:Born Cashmere Fingerless Gloves, Light Beige, O/S</t>
        </is>
      </c>
      <c r="L6" t="n">
        <v>3018</v>
      </c>
      <c r="M6" t="n">
        <v>8.199999999999999</v>
      </c>
      <c r="N6" t="n">
        <v>39</v>
      </c>
      <c r="O6" t="n">
        <v>1.2</v>
      </c>
      <c r="P6">
        <f>N6/O6</f>
        <v/>
      </c>
      <c r="Q6">
        <f>((N6/O6)-M6)/(N6/O6)</f>
        <v/>
      </c>
    </row>
    <row r="7">
      <c r="A7" t="inlineStr">
        <is>
          <t>900236ZZLTBR0000</t>
        </is>
      </c>
      <c r="B7" t="n">
        <v>900236</v>
      </c>
      <c r="C7" t="inlineStr">
        <is>
          <t>LTBR</t>
        </is>
      </c>
      <c r="D7" t="inlineStr">
        <is>
          <t>900236LTBR</t>
        </is>
      </c>
      <c r="E7" t="inlineStr">
        <is>
          <t>Fingerless Gloves</t>
        </is>
      </c>
      <c r="F7" t="inlineStr">
        <is>
          <t>Cashmere</t>
        </is>
      </c>
      <c r="G7" t="inlineStr">
        <is>
          <t>Cashmere Fingerless Gloves</t>
        </is>
      </c>
      <c r="H7" s="34" t="inlineStr">
        <is>
          <t>TBC</t>
        </is>
      </c>
      <c r="I7" t="inlineStr">
        <is>
          <t>Light Brown</t>
        </is>
      </c>
      <c r="J7" t="inlineStr">
        <is>
          <t>One Size</t>
        </is>
      </c>
      <c r="K7" s="27" t="inlineStr">
        <is>
          <t>Re:Born Cashmere Fingerless Gloves, Light Brown, O/S</t>
        </is>
      </c>
      <c r="L7" t="n">
        <v>1302</v>
      </c>
      <c r="M7" t="n">
        <v>8.199999999999999</v>
      </c>
      <c r="N7" t="n">
        <v>39</v>
      </c>
      <c r="O7" t="n">
        <v>1.2</v>
      </c>
      <c r="P7">
        <f>N7/O7</f>
        <v/>
      </c>
      <c r="Q7">
        <f>((N7/O7)-M7)/(N7/O7)</f>
        <v/>
      </c>
    </row>
    <row r="8">
      <c r="A8" t="inlineStr">
        <is>
          <t>900236ZZNAVY0000</t>
        </is>
      </c>
      <c r="B8" t="n">
        <v>900236</v>
      </c>
      <c r="C8" t="inlineStr">
        <is>
          <t>NAVY</t>
        </is>
      </c>
      <c r="D8" s="1" t="inlineStr">
        <is>
          <t>900236NAVY</t>
        </is>
      </c>
      <c r="E8" s="1" t="inlineStr">
        <is>
          <t>Fingerless Gloves</t>
        </is>
      </c>
      <c r="F8" s="1" t="inlineStr">
        <is>
          <t>Cashmere</t>
        </is>
      </c>
      <c r="G8" s="1" t="inlineStr">
        <is>
          <t>Cashmere Fingerless Gloves</t>
        </is>
      </c>
      <c r="H8" s="35" t="inlineStr">
        <is>
          <t>TBC</t>
        </is>
      </c>
      <c r="I8" s="1" t="inlineStr">
        <is>
          <t>Navy</t>
        </is>
      </c>
      <c r="J8" s="1" t="inlineStr">
        <is>
          <t>One Size</t>
        </is>
      </c>
      <c r="K8" t="inlineStr">
        <is>
          <t>Re:Born Cashmere Fingerless Gloves, Navy, O/S</t>
        </is>
      </c>
      <c r="L8" t="n">
        <v>1036</v>
      </c>
      <c r="M8" s="1" t="n">
        <v>8.199999999999999</v>
      </c>
      <c r="N8" s="1" t="n">
        <v>39</v>
      </c>
      <c r="O8" s="1" t="n">
        <v>1.2</v>
      </c>
      <c r="P8" s="1">
        <f>N8/O8</f>
        <v/>
      </c>
      <c r="Q8" s="1">
        <f>((N8/O8)-M8)/(N8/O8)</f>
        <v/>
      </c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</row>
    <row r="9">
      <c r="A9" t="inlineStr">
        <is>
          <t>900236ZZLMLL0000</t>
        </is>
      </c>
      <c r="B9" t="n">
        <v>900236</v>
      </c>
      <c r="C9" t="inlineStr">
        <is>
          <t>LMLL</t>
        </is>
      </c>
      <c r="D9" t="inlineStr">
        <is>
          <t>900236LMLL</t>
        </is>
      </c>
      <c r="E9" t="inlineStr">
        <is>
          <t>Fingerless Gloves</t>
        </is>
      </c>
      <c r="F9" t="inlineStr">
        <is>
          <t>Cashmere</t>
        </is>
      </c>
      <c r="G9" t="inlineStr">
        <is>
          <t>Cashmere Fingerless Gloves</t>
        </is>
      </c>
      <c r="H9" s="34" t="inlineStr">
        <is>
          <t>TBC</t>
        </is>
      </c>
      <c r="I9" t="inlineStr">
        <is>
          <t>Light Maroon</t>
        </is>
      </c>
      <c r="J9" t="inlineStr">
        <is>
          <t>One Size</t>
        </is>
      </c>
      <c r="K9" t="inlineStr">
        <is>
          <t>Re:Born Cashmere Fingerless Gloves, Light Maroon, O/S</t>
        </is>
      </c>
      <c r="L9" t="n">
        <v>991</v>
      </c>
      <c r="M9" t="n">
        <v>8.199999999999999</v>
      </c>
      <c r="N9" t="n">
        <v>39</v>
      </c>
      <c r="O9" t="n">
        <v>1.2</v>
      </c>
      <c r="P9">
        <f>N9/O9</f>
        <v/>
      </c>
      <c r="Q9">
        <f>((N9/O9)-M9)/(N9/O9)</f>
        <v/>
      </c>
    </row>
    <row r="10">
      <c r="A10" t="inlineStr">
        <is>
          <t>900236ZZRDST0000</t>
        </is>
      </c>
      <c r="B10" t="n">
        <v>900236</v>
      </c>
      <c r="C10" t="inlineStr">
        <is>
          <t>RDST</t>
        </is>
      </c>
      <c r="D10" s="1" t="inlineStr">
        <is>
          <t>900236RDST</t>
        </is>
      </c>
      <c r="E10" s="1" t="inlineStr">
        <is>
          <t>Fingerless Gloves</t>
        </is>
      </c>
      <c r="F10" s="1" t="inlineStr">
        <is>
          <t>Cashmere</t>
        </is>
      </c>
      <c r="G10" s="1" t="inlineStr">
        <is>
          <t>Cashmere Fingerless Gloves</t>
        </is>
      </c>
      <c r="H10" s="35" t="inlineStr">
        <is>
          <t>TBC</t>
        </is>
      </c>
      <c r="I10" s="1" t="inlineStr">
        <is>
          <t>Red</t>
        </is>
      </c>
      <c r="J10" s="1" t="inlineStr">
        <is>
          <t>One Size</t>
        </is>
      </c>
      <c r="K10" t="inlineStr">
        <is>
          <t>Re:Born Cashmere Fingerless Gloves, Red, O/S</t>
        </is>
      </c>
      <c r="L10" t="n">
        <v>988</v>
      </c>
      <c r="M10" s="1" t="n">
        <v>8.199999999999999</v>
      </c>
      <c r="N10" s="1" t="n">
        <v>39</v>
      </c>
      <c r="O10" s="1" t="n">
        <v>1.2</v>
      </c>
      <c r="P10" s="1">
        <f>N10/O10</f>
        <v/>
      </c>
      <c r="Q10" s="1">
        <f>((N10/O10)-M10)/(N10/O10)</f>
        <v/>
      </c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</row>
    <row r="11">
      <c r="A11" t="inlineStr">
        <is>
          <t>900236ZZAAAC0000</t>
        </is>
      </c>
      <c r="B11" t="n">
        <v>900236</v>
      </c>
      <c r="C11" t="inlineStr">
        <is>
          <t>AAAC</t>
        </is>
      </c>
      <c r="D11" t="inlineStr">
        <is>
          <t>900236AAAC</t>
        </is>
      </c>
      <c r="E11" t="inlineStr">
        <is>
          <t>Fingerless Gloves</t>
        </is>
      </c>
      <c r="F11" t="inlineStr">
        <is>
          <t>Cashmere</t>
        </is>
      </c>
      <c r="G11" t="inlineStr">
        <is>
          <t>Cashmere Fingerless Gloves</t>
        </is>
      </c>
      <c r="H11" s="34" t="inlineStr">
        <is>
          <t>TBC</t>
        </is>
      </c>
      <c r="I11" t="inlineStr">
        <is>
          <t>Baby Pink</t>
        </is>
      </c>
      <c r="J11" t="inlineStr">
        <is>
          <t>One Size</t>
        </is>
      </c>
      <c r="K11" t="inlineStr">
        <is>
          <t>Re:Born Cashmere Fingerless Gloves, Baby Pink, O/S</t>
        </is>
      </c>
      <c r="L11" t="n">
        <v>800</v>
      </c>
      <c r="M11" t="n">
        <v>8.199999999999999</v>
      </c>
      <c r="N11" t="n">
        <v>39</v>
      </c>
      <c r="O11" t="n">
        <v>1.2</v>
      </c>
      <c r="P11">
        <f>N11/O11</f>
        <v/>
      </c>
      <c r="Q11">
        <f>((N11/O11)-M11)/(N11/O11)</f>
        <v/>
      </c>
    </row>
    <row r="12">
      <c r="A12" t="inlineStr">
        <is>
          <t>900236ZZDKBR0000</t>
        </is>
      </c>
      <c r="B12" t="n">
        <v>900236</v>
      </c>
      <c r="C12" t="inlineStr">
        <is>
          <t>DKBR</t>
        </is>
      </c>
      <c r="D12" t="inlineStr">
        <is>
          <t>900236DKBR</t>
        </is>
      </c>
      <c r="E12" t="inlineStr">
        <is>
          <t>Fingerless Gloves</t>
        </is>
      </c>
      <c r="F12" t="inlineStr">
        <is>
          <t>Cashmere</t>
        </is>
      </c>
      <c r="G12" t="inlineStr">
        <is>
          <t>Cashmere Fingerless Gloves</t>
        </is>
      </c>
      <c r="H12" s="34" t="inlineStr">
        <is>
          <t>TBC</t>
        </is>
      </c>
      <c r="I12" t="inlineStr">
        <is>
          <t>Dark Brown</t>
        </is>
      </c>
      <c r="J12" t="inlineStr">
        <is>
          <t>One Size</t>
        </is>
      </c>
      <c r="K12" t="inlineStr">
        <is>
          <t>Re:Born Cashmere Fingerless Gloves, Dark Brown, O/S</t>
        </is>
      </c>
      <c r="L12" t="n">
        <v>740</v>
      </c>
      <c r="M12" t="n">
        <v>8.199999999999999</v>
      </c>
      <c r="N12" t="n">
        <v>39</v>
      </c>
      <c r="O12" t="n">
        <v>1.2</v>
      </c>
      <c r="P12">
        <f>N12/O12</f>
        <v/>
      </c>
      <c r="Q12">
        <f>((N12/O12)-M12)/(N12/O12)</f>
        <v/>
      </c>
    </row>
    <row r="13">
      <c r="A13" t="inlineStr">
        <is>
          <t>900236ZZYELL0000</t>
        </is>
      </c>
      <c r="B13" t="n">
        <v>900236</v>
      </c>
      <c r="C13" t="inlineStr">
        <is>
          <t>YELL</t>
        </is>
      </c>
      <c r="D13" t="inlineStr">
        <is>
          <t>900236YELL</t>
        </is>
      </c>
      <c r="E13" t="inlineStr">
        <is>
          <t>Fingerless Gloves</t>
        </is>
      </c>
      <c r="F13" t="inlineStr">
        <is>
          <t>Cashmere</t>
        </is>
      </c>
      <c r="G13" t="inlineStr">
        <is>
          <t>Cashmere Fingerless Gloves</t>
        </is>
      </c>
      <c r="H13" s="34" t="inlineStr">
        <is>
          <t>TBC</t>
        </is>
      </c>
      <c r="I13" t="inlineStr">
        <is>
          <t>Yellow</t>
        </is>
      </c>
      <c r="J13" t="inlineStr">
        <is>
          <t>One Size</t>
        </is>
      </c>
      <c r="K13" t="inlineStr">
        <is>
          <t>Re:Born Cashmere Fingerless Gloves, Yellow, O/S</t>
        </is>
      </c>
      <c r="L13" t="n">
        <v>736</v>
      </c>
      <c r="M13" t="n">
        <v>8.199999999999999</v>
      </c>
      <c r="N13" t="n">
        <v>39</v>
      </c>
      <c r="O13" t="n">
        <v>1.2</v>
      </c>
      <c r="P13">
        <f>N13/O13</f>
        <v/>
      </c>
      <c r="Q13">
        <f>((N13/O13)-M13)/(N13/O13)</f>
        <v/>
      </c>
    </row>
    <row r="14">
      <c r="A14" t="inlineStr">
        <is>
          <t>900236ZZBEIG0000</t>
        </is>
      </c>
      <c r="B14" t="n">
        <v>900236</v>
      </c>
      <c r="C14" t="inlineStr">
        <is>
          <t>BEIG</t>
        </is>
      </c>
      <c r="D14" t="inlineStr">
        <is>
          <t>900236BEIG</t>
        </is>
      </c>
      <c r="E14" t="inlineStr">
        <is>
          <t>Fingerless Gloves</t>
        </is>
      </c>
      <c r="F14" t="inlineStr">
        <is>
          <t>Cashmere</t>
        </is>
      </c>
      <c r="G14" t="inlineStr">
        <is>
          <t>Cashmere Fingerless Gloves</t>
        </is>
      </c>
      <c r="H14" s="34" t="inlineStr">
        <is>
          <t>TBC</t>
        </is>
      </c>
      <c r="I14" t="inlineStr">
        <is>
          <t>Beige</t>
        </is>
      </c>
      <c r="J14" t="inlineStr">
        <is>
          <t>One Size</t>
        </is>
      </c>
      <c r="K14" t="inlineStr">
        <is>
          <t>Re:Born Cashmere Fingerless Gloves, Beige, O/S</t>
        </is>
      </c>
      <c r="L14" t="n">
        <v>624</v>
      </c>
      <c r="M14" t="n">
        <v>8.199999999999999</v>
      </c>
      <c r="N14" t="n">
        <v>39</v>
      </c>
      <c r="O14" t="n">
        <v>1.2</v>
      </c>
      <c r="P14">
        <f>N14/O14</f>
        <v/>
      </c>
      <c r="Q14">
        <f>((N14/O14)-M14)/(N14/O14)</f>
        <v/>
      </c>
    </row>
    <row r="15">
      <c r="A15" t="inlineStr">
        <is>
          <t>900236ZZDMAA0000</t>
        </is>
      </c>
      <c r="B15" t="n">
        <v>900236</v>
      </c>
      <c r="C15" t="inlineStr">
        <is>
          <t>DMAA</t>
        </is>
      </c>
      <c r="D15" t="inlineStr">
        <is>
          <t>900236DMAA</t>
        </is>
      </c>
      <c r="E15" t="inlineStr">
        <is>
          <t>Fingerless Gloves</t>
        </is>
      </c>
      <c r="F15" t="inlineStr">
        <is>
          <t>Cashmere</t>
        </is>
      </c>
      <c r="G15" t="inlineStr">
        <is>
          <t>Cashmere Fingerless Gloves</t>
        </is>
      </c>
      <c r="H15" s="34" t="inlineStr">
        <is>
          <t>TBC</t>
        </is>
      </c>
      <c r="I15" t="inlineStr">
        <is>
          <t>Deep Matcha Green</t>
        </is>
      </c>
      <c r="J15" t="inlineStr">
        <is>
          <t>One Size</t>
        </is>
      </c>
      <c r="K15" t="inlineStr">
        <is>
          <t>Re:Born Cashmere Fingerless Gloves, Deep Matcha Green, O/S</t>
        </is>
      </c>
      <c r="L15" t="n">
        <v>598</v>
      </c>
      <c r="M15" t="n">
        <v>8.199999999999999</v>
      </c>
      <c r="N15" t="n">
        <v>39</v>
      </c>
      <c r="O15" t="n">
        <v>1.2</v>
      </c>
      <c r="P15">
        <f>N15/O15</f>
        <v/>
      </c>
      <c r="Q15">
        <f>((N15/O15)-M15)/(N15/O15)</f>
        <v/>
      </c>
    </row>
    <row r="16">
      <c r="A16" t="inlineStr">
        <is>
          <t>900236ZZBAPP0000</t>
        </is>
      </c>
      <c r="B16" t="n">
        <v>900236</v>
      </c>
      <c r="C16" t="inlineStr">
        <is>
          <t>BAPP</t>
        </is>
      </c>
      <c r="D16" t="inlineStr">
        <is>
          <t>900236BAPP</t>
        </is>
      </c>
      <c r="E16" t="inlineStr">
        <is>
          <t>Fingerless Gloves</t>
        </is>
      </c>
      <c r="F16" t="inlineStr">
        <is>
          <t>Cashmere</t>
        </is>
      </c>
      <c r="G16" t="inlineStr">
        <is>
          <t>Cashmere Fingerless Gloves</t>
        </is>
      </c>
      <c r="H16" s="34" t="inlineStr">
        <is>
          <t>TBC</t>
        </is>
      </c>
      <c r="I16" t="inlineStr">
        <is>
          <t>Pink</t>
        </is>
      </c>
      <c r="J16" t="inlineStr">
        <is>
          <t>One Size</t>
        </is>
      </c>
      <c r="K16" s="26" t="inlineStr">
        <is>
          <t>Re:Born Cashmere Fingerless Gloves, Pink, O/S</t>
        </is>
      </c>
      <c r="L16" t="n">
        <v>534</v>
      </c>
      <c r="M16" t="n">
        <v>8.199999999999999</v>
      </c>
      <c r="N16" t="n">
        <v>39</v>
      </c>
      <c r="O16" t="n">
        <v>1.2</v>
      </c>
      <c r="P16">
        <f>N16/O16</f>
        <v/>
      </c>
      <c r="Q16">
        <f>((N16/O16)-M16)/(N16/O16)</f>
        <v/>
      </c>
    </row>
    <row r="17">
      <c r="A17" t="inlineStr">
        <is>
          <t>900236ZZMIII0000</t>
        </is>
      </c>
      <c r="B17" t="n">
        <v>900236</v>
      </c>
      <c r="C17" t="inlineStr">
        <is>
          <t>MIII</t>
        </is>
      </c>
      <c r="D17" t="inlineStr">
        <is>
          <t>900236MIII</t>
        </is>
      </c>
      <c r="E17" t="inlineStr">
        <is>
          <t>Fingerless Gloves</t>
        </is>
      </c>
      <c r="F17" t="inlineStr">
        <is>
          <t>Cashmere</t>
        </is>
      </c>
      <c r="G17" t="inlineStr">
        <is>
          <t>Cashmere Fingerless Gloves</t>
        </is>
      </c>
      <c r="H17" s="34" t="inlineStr">
        <is>
          <t>TBC</t>
        </is>
      </c>
      <c r="I17" t="inlineStr">
        <is>
          <t>Military Green</t>
        </is>
      </c>
      <c r="J17" t="inlineStr">
        <is>
          <t>One Size</t>
        </is>
      </c>
      <c r="K17" s="26" t="inlineStr">
        <is>
          <t>Re:Born Cashmere Fingerless Gloves, Military Green, O/S</t>
        </is>
      </c>
      <c r="L17" t="n">
        <v>525</v>
      </c>
      <c r="M17" t="n">
        <v>8.199999999999999</v>
      </c>
      <c r="N17" t="n">
        <v>39</v>
      </c>
      <c r="O17" t="n">
        <v>1.2</v>
      </c>
      <c r="P17">
        <f>N17/O17</f>
        <v/>
      </c>
      <c r="Q17">
        <f>((N17/O17)-M17)/(N17/O17)</f>
        <v/>
      </c>
    </row>
    <row r="18">
      <c r="A18" t="inlineStr">
        <is>
          <t>900236ZZLTGN0000</t>
        </is>
      </c>
      <c r="B18" t="n">
        <v>900236</v>
      </c>
      <c r="C18" t="inlineStr">
        <is>
          <t>LTGN</t>
        </is>
      </c>
      <c r="D18" t="inlineStr">
        <is>
          <t>900236LTGN</t>
        </is>
      </c>
      <c r="E18" t="inlineStr">
        <is>
          <t>Fingerless Gloves</t>
        </is>
      </c>
      <c r="F18" t="inlineStr">
        <is>
          <t>Cashmere</t>
        </is>
      </c>
      <c r="G18" t="inlineStr">
        <is>
          <t>Cashmere Fingerless Gloves</t>
        </is>
      </c>
      <c r="H18" s="34" t="inlineStr">
        <is>
          <t>TBC</t>
        </is>
      </c>
      <c r="I18" t="inlineStr">
        <is>
          <t>Light Green</t>
        </is>
      </c>
      <c r="J18" t="inlineStr">
        <is>
          <t>One Size</t>
        </is>
      </c>
      <c r="K18" s="26" t="inlineStr">
        <is>
          <t>Re:Born Cashmere Fingerless Gloves, Light Green, O/S</t>
        </is>
      </c>
      <c r="L18" t="n">
        <v>445</v>
      </c>
      <c r="M18" t="n">
        <v>8.199999999999999</v>
      </c>
      <c r="N18" t="n">
        <v>39</v>
      </c>
      <c r="O18" t="n">
        <v>1.2</v>
      </c>
      <c r="P18">
        <f>N18/O18</f>
        <v/>
      </c>
      <c r="Q18">
        <f>((N18/O18)-M18)/(N18/O18)</f>
        <v/>
      </c>
    </row>
    <row r="19">
      <c r="A19" t="inlineStr">
        <is>
          <t>900236ZZLIBL0000</t>
        </is>
      </c>
      <c r="B19" t="n">
        <v>900236</v>
      </c>
      <c r="C19" t="inlineStr">
        <is>
          <t>LIBL</t>
        </is>
      </c>
      <c r="D19" t="inlineStr">
        <is>
          <t>900236LIBL</t>
        </is>
      </c>
      <c r="E19" t="inlineStr">
        <is>
          <t>Fingerless Gloves</t>
        </is>
      </c>
      <c r="F19" t="inlineStr">
        <is>
          <t>Cashmere</t>
        </is>
      </c>
      <c r="G19" t="inlineStr">
        <is>
          <t>Cashmere Fingerless Gloves</t>
        </is>
      </c>
      <c r="H19" s="34" t="inlineStr">
        <is>
          <t>TBC</t>
        </is>
      </c>
      <c r="I19" t="inlineStr">
        <is>
          <t>Light Blue</t>
        </is>
      </c>
      <c r="J19" t="inlineStr">
        <is>
          <t>One Size</t>
        </is>
      </c>
      <c r="K19" s="26" t="inlineStr">
        <is>
          <t>Re:Born Cashmere Fingerless Gloves, Light Blue, O/S</t>
        </is>
      </c>
      <c r="L19" t="n">
        <v>418</v>
      </c>
      <c r="M19" t="n">
        <v>8.199999999999999</v>
      </c>
      <c r="N19" t="n">
        <v>39</v>
      </c>
      <c r="O19" t="n">
        <v>1.2</v>
      </c>
      <c r="P19">
        <f>N19/O19</f>
        <v/>
      </c>
      <c r="Q19">
        <f>((N19/O19)-M19)/(N19/O19)</f>
        <v/>
      </c>
    </row>
    <row r="20">
      <c r="A20" t="inlineStr">
        <is>
          <t>900236ZZLAVE0000</t>
        </is>
      </c>
      <c r="B20" t="n">
        <v>900236</v>
      </c>
      <c r="C20" t="inlineStr">
        <is>
          <t>LAVE</t>
        </is>
      </c>
      <c r="D20" t="inlineStr">
        <is>
          <t>900236LAVE</t>
        </is>
      </c>
      <c r="E20" t="inlineStr">
        <is>
          <t>Fingerless Gloves</t>
        </is>
      </c>
      <c r="F20" t="inlineStr">
        <is>
          <t>Cashmere</t>
        </is>
      </c>
      <c r="G20" t="inlineStr">
        <is>
          <t>Cashmere Fingerless Gloves</t>
        </is>
      </c>
      <c r="H20" s="34" t="inlineStr">
        <is>
          <t>TBC</t>
        </is>
      </c>
      <c r="I20" t="inlineStr">
        <is>
          <t>Lavender</t>
        </is>
      </c>
      <c r="J20" t="inlineStr">
        <is>
          <t>One Size</t>
        </is>
      </c>
      <c r="K20" s="26" t="inlineStr">
        <is>
          <t>Re:Born Cashmere Fingerless Gloves, Lavender, O/S</t>
        </is>
      </c>
      <c r="L20" t="n">
        <v>377</v>
      </c>
      <c r="M20" t="n">
        <v>8.199999999999999</v>
      </c>
      <c r="N20" t="n">
        <v>39</v>
      </c>
      <c r="O20" t="n">
        <v>1.2</v>
      </c>
      <c r="P20">
        <f>N20/O20</f>
        <v/>
      </c>
      <c r="Q20">
        <f>((N20/O20)-M20)/(N20/O20)</f>
        <v/>
      </c>
    </row>
    <row r="21">
      <c r="A21" s="28" t="inlineStr">
        <is>
          <t>900236ZZMRRR0000</t>
        </is>
      </c>
      <c r="B21" t="n">
        <v>900236</v>
      </c>
      <c r="C21" t="inlineStr">
        <is>
          <t>MRRR</t>
        </is>
      </c>
      <c r="D21" t="inlineStr">
        <is>
          <t>900236MRRR</t>
        </is>
      </c>
      <c r="E21" t="inlineStr">
        <is>
          <t>Fingerless Gloves</t>
        </is>
      </c>
      <c r="F21" t="inlineStr">
        <is>
          <t>Cashmere</t>
        </is>
      </c>
      <c r="G21" t="inlineStr">
        <is>
          <t>Cashmere Fingerless Gloves</t>
        </is>
      </c>
      <c r="H21" s="34" t="inlineStr">
        <is>
          <t>TBC</t>
        </is>
      </c>
      <c r="I21" t="inlineStr">
        <is>
          <t>Maroon</t>
        </is>
      </c>
      <c r="J21" t="inlineStr">
        <is>
          <t>One Size</t>
        </is>
      </c>
      <c r="K21" t="inlineStr">
        <is>
          <t>Re:Born Cashmere Fingerless Gloves, Maroon, O/S</t>
        </is>
      </c>
      <c r="L21" t="n">
        <v>365</v>
      </c>
      <c r="M21" t="n">
        <v>8.199999999999999</v>
      </c>
      <c r="N21" t="n">
        <v>39</v>
      </c>
      <c r="O21" t="n">
        <v>1.2</v>
      </c>
      <c r="P21">
        <f>N21/O21</f>
        <v/>
      </c>
      <c r="Q21">
        <f>((N21/O21)-M21)/(N21/O21)</f>
        <v/>
      </c>
    </row>
    <row r="22">
      <c r="A22" t="inlineStr">
        <is>
          <t>900236ZZDNBL0000</t>
        </is>
      </c>
      <c r="B22" t="n">
        <v>900236</v>
      </c>
      <c r="C22" t="inlineStr">
        <is>
          <t>DNBL</t>
        </is>
      </c>
      <c r="D22" t="inlineStr">
        <is>
          <t>900236DNBL</t>
        </is>
      </c>
      <c r="E22" t="inlineStr">
        <is>
          <t>Fingerless Gloves</t>
        </is>
      </c>
      <c r="F22" t="inlineStr">
        <is>
          <t>Cashmere</t>
        </is>
      </c>
      <c r="G22" t="inlineStr">
        <is>
          <t>Cashmere Fingerless Gloves</t>
        </is>
      </c>
      <c r="H22" s="34" t="inlineStr">
        <is>
          <t>TBC</t>
        </is>
      </c>
      <c r="I22" t="inlineStr">
        <is>
          <t>Denim Blue</t>
        </is>
      </c>
      <c r="J22" t="inlineStr">
        <is>
          <t>One Size</t>
        </is>
      </c>
      <c r="K22" t="inlineStr">
        <is>
          <t>Re:Born Cashmere Fingerless Gloves, Denim Blue, O/S</t>
        </is>
      </c>
      <c r="L22" t="n">
        <v>355</v>
      </c>
      <c r="M22" t="n">
        <v>8.199999999999999</v>
      </c>
      <c r="N22" t="n">
        <v>39</v>
      </c>
      <c r="O22" t="n">
        <v>1.2</v>
      </c>
      <c r="P22">
        <f>N22/O22</f>
        <v/>
      </c>
      <c r="Q22">
        <f>((N22/O22)-M22)/(N22/O22)</f>
        <v/>
      </c>
    </row>
    <row r="23">
      <c r="A23" t="inlineStr">
        <is>
          <t>900236ZZKELL0000</t>
        </is>
      </c>
      <c r="B23" t="n">
        <v>900236</v>
      </c>
      <c r="C23" t="inlineStr">
        <is>
          <t>KELL</t>
        </is>
      </c>
      <c r="D23" t="inlineStr">
        <is>
          <t>900236KELL</t>
        </is>
      </c>
      <c r="E23" t="inlineStr">
        <is>
          <t>Fingerless Gloves</t>
        </is>
      </c>
      <c r="F23" t="inlineStr">
        <is>
          <t>Cashmere</t>
        </is>
      </c>
      <c r="G23" t="inlineStr">
        <is>
          <t>Cashmere Fingerless Gloves</t>
        </is>
      </c>
      <c r="H23" s="34" t="inlineStr">
        <is>
          <t>TBC</t>
        </is>
      </c>
      <c r="I23" t="inlineStr">
        <is>
          <t>Kelly Green</t>
        </is>
      </c>
      <c r="J23" t="inlineStr">
        <is>
          <t>One Size</t>
        </is>
      </c>
      <c r="K23" t="inlineStr">
        <is>
          <t>Re:Born Cashmere Fingerless Gloves, Kelly Green, O/S</t>
        </is>
      </c>
      <c r="L23" t="n">
        <v>121</v>
      </c>
      <c r="M23" t="n">
        <v>8.199999999999999</v>
      </c>
      <c r="N23" t="n">
        <v>39</v>
      </c>
      <c r="O23" t="n">
        <v>1.2</v>
      </c>
      <c r="P23">
        <f>N23/O23</f>
        <v/>
      </c>
      <c r="Q23">
        <f>((N23/O23)-M23)/(N23/O23)</f>
        <v/>
      </c>
    </row>
    <row r="24">
      <c r="A24" t="inlineStr">
        <is>
          <t>900234ZZAADP0000</t>
        </is>
      </c>
      <c r="B24" t="n">
        <v>900234</v>
      </c>
      <c r="C24" t="inlineStr">
        <is>
          <t>AADP</t>
        </is>
      </c>
      <c r="D24" t="inlineStr">
        <is>
          <t>900234AADP</t>
        </is>
      </c>
      <c r="E24" t="inlineStr">
        <is>
          <t>Beanie &amp; Glove Set</t>
        </is>
      </c>
      <c r="F24" t="inlineStr">
        <is>
          <t>Cashmere</t>
        </is>
      </c>
      <c r="G24" t="inlineStr">
        <is>
          <t>Cashmere Beanie &amp; Glove Set</t>
        </is>
      </c>
      <c r="H24" s="34" t="inlineStr">
        <is>
          <t>TBC</t>
        </is>
      </c>
      <c r="I24" t="inlineStr">
        <is>
          <t>Black &amp; Red</t>
        </is>
      </c>
      <c r="J24" t="inlineStr">
        <is>
          <t>One Size</t>
        </is>
      </c>
      <c r="K24" t="inlineStr">
        <is>
          <t>Re:Born Beanie &amp; Glove Set, Black &amp; Red, O/S</t>
        </is>
      </c>
      <c r="L24" t="n">
        <v>117</v>
      </c>
      <c r="M24" t="n">
        <v>17.2</v>
      </c>
      <c r="N24" s="34" t="inlineStr">
        <is>
          <t>TBC</t>
        </is>
      </c>
      <c r="O24" t="n">
        <v>1.2</v>
      </c>
      <c r="P24" s="34" t="inlineStr">
        <is>
          <t>TBC</t>
        </is>
      </c>
      <c r="Q24" s="34" t="inlineStr">
        <is>
          <t>TBC</t>
        </is>
      </c>
    </row>
    <row r="25">
      <c r="A25" t="inlineStr">
        <is>
          <t>900235ZZREAA0000</t>
        </is>
      </c>
      <c r="B25" t="n">
        <v>900235</v>
      </c>
      <c r="C25" t="inlineStr">
        <is>
          <t>REAA</t>
        </is>
      </c>
      <c r="D25" t="inlineStr">
        <is>
          <t>900235REAA</t>
        </is>
      </c>
      <c r="E25" t="inlineStr">
        <is>
          <t>2 Pack Gloves</t>
        </is>
      </c>
      <c r="F25" t="inlineStr">
        <is>
          <t>Cashmere</t>
        </is>
      </c>
      <c r="G25" t="inlineStr">
        <is>
          <t>Cashmere 2 Pack Gloves</t>
        </is>
      </c>
      <c r="H25" s="34" t="inlineStr">
        <is>
          <t>TBC</t>
        </is>
      </c>
      <c r="I25" t="inlineStr">
        <is>
          <t>Red And Navy</t>
        </is>
      </c>
      <c r="J25" t="inlineStr">
        <is>
          <t>One Size</t>
        </is>
      </c>
      <c r="K25" t="inlineStr">
        <is>
          <t>Re:Born 2 Pack Gloves, Red And Navy, O/S</t>
        </is>
      </c>
      <c r="L25" t="n">
        <v>98</v>
      </c>
      <c r="M25" s="34" t="inlineStr">
        <is>
          <t>TBC</t>
        </is>
      </c>
      <c r="N25" s="34" t="inlineStr">
        <is>
          <t>TBC</t>
        </is>
      </c>
      <c r="O25" s="34" t="inlineStr">
        <is>
          <t>TBC</t>
        </is>
      </c>
      <c r="P25" s="34" t="inlineStr">
        <is>
          <t>TBC</t>
        </is>
      </c>
      <c r="Q25" s="34" t="inlineStr">
        <is>
          <t>TBC</t>
        </is>
      </c>
    </row>
    <row r="26">
      <c r="A26" t="inlineStr">
        <is>
          <t>900236ZZAAAK0000</t>
        </is>
      </c>
      <c r="B26" t="n">
        <v>900236</v>
      </c>
      <c r="C26" t="inlineStr">
        <is>
          <t>AAAK</t>
        </is>
      </c>
      <c r="D26" t="inlineStr">
        <is>
          <t>900236AAAK</t>
        </is>
      </c>
      <c r="E26" t="inlineStr">
        <is>
          <t>Fingerless Gloves</t>
        </is>
      </c>
      <c r="F26" t="inlineStr">
        <is>
          <t>Cashmere</t>
        </is>
      </c>
      <c r="G26" t="inlineStr">
        <is>
          <t>Cashmere Fingerless Gloves</t>
        </is>
      </c>
      <c r="H26" s="34" t="inlineStr">
        <is>
          <t>TBC</t>
        </is>
      </c>
      <c r="I26" t="inlineStr">
        <is>
          <t>Hot Pink</t>
        </is>
      </c>
      <c r="J26" t="inlineStr">
        <is>
          <t>One Size</t>
        </is>
      </c>
      <c r="K26" t="inlineStr">
        <is>
          <t>Re:Born Cashmere Fingerless Gloves, Hot Pink, O/S</t>
        </is>
      </c>
      <c r="L26" t="n">
        <v>81</v>
      </c>
      <c r="M26" t="n">
        <v>8.199999999999999</v>
      </c>
      <c r="N26" t="n">
        <v>39</v>
      </c>
      <c r="O26" t="n">
        <v>1.2</v>
      </c>
      <c r="P26">
        <f>N26/O26</f>
        <v/>
      </c>
      <c r="Q26">
        <f>((N26/O26)-M26)/(N26/O26)</f>
        <v/>
      </c>
    </row>
    <row r="27">
      <c r="A27" t="inlineStr">
        <is>
          <t>900235ZZBCAA0000</t>
        </is>
      </c>
      <c r="B27" t="n">
        <v>900235</v>
      </c>
      <c r="C27" t="inlineStr">
        <is>
          <t>BCAA</t>
        </is>
      </c>
      <c r="D27" t="inlineStr">
        <is>
          <t>900235BCAA</t>
        </is>
      </c>
      <c r="E27" t="inlineStr">
        <is>
          <t>2 Pack Gloves</t>
        </is>
      </c>
      <c r="F27" t="inlineStr">
        <is>
          <t>Cashmere</t>
        </is>
      </c>
      <c r="G27" t="inlineStr">
        <is>
          <t>Cashmere 2 Pack Gloves</t>
        </is>
      </c>
      <c r="H27" s="34" t="inlineStr">
        <is>
          <t>TBC</t>
        </is>
      </c>
      <c r="I27" t="inlineStr">
        <is>
          <t>Black And Caramel</t>
        </is>
      </c>
      <c r="J27" t="inlineStr">
        <is>
          <t>One Size</t>
        </is>
      </c>
      <c r="K27" t="inlineStr">
        <is>
          <t>Re:Born 2 Pack Gloves, Black And Caramel, O/S</t>
        </is>
      </c>
      <c r="L27" t="n">
        <v>41</v>
      </c>
      <c r="M27" s="34" t="inlineStr">
        <is>
          <t>TBC</t>
        </is>
      </c>
      <c r="N27" s="34" t="inlineStr">
        <is>
          <t>TBC</t>
        </is>
      </c>
      <c r="O27" s="34" t="inlineStr">
        <is>
          <t>TBC</t>
        </is>
      </c>
      <c r="P27" s="34" t="inlineStr">
        <is>
          <t>TBC</t>
        </is>
      </c>
      <c r="Q27" s="34" t="inlineStr">
        <is>
          <t>TBC</t>
        </is>
      </c>
    </row>
    <row r="28">
      <c r="A28" t="inlineStr">
        <is>
          <t>900236ZZAADI0000</t>
        </is>
      </c>
      <c r="B28" t="n">
        <v>900236</v>
      </c>
      <c r="C28" t="inlineStr">
        <is>
          <t>AADI</t>
        </is>
      </c>
      <c r="D28" t="inlineStr">
        <is>
          <t>900236AADI</t>
        </is>
      </c>
      <c r="E28" t="inlineStr">
        <is>
          <t>Fingerless Gloves</t>
        </is>
      </c>
      <c r="F28" t="inlineStr">
        <is>
          <t>Cashmere</t>
        </is>
      </c>
      <c r="G28" t="inlineStr">
        <is>
          <t>Cashmere Fingerless Gloves</t>
        </is>
      </c>
      <c r="H28" s="34" t="inlineStr">
        <is>
          <t>TBC</t>
        </is>
      </c>
      <c r="I28" t="inlineStr">
        <is>
          <t>One Of A Kind</t>
        </is>
      </c>
      <c r="J28" t="inlineStr">
        <is>
          <t>One Size</t>
        </is>
      </c>
      <c r="K28" t="inlineStr">
        <is>
          <t>Re:Born Cashmere Fingerless Gloves, One Of A Kind, O/S</t>
        </is>
      </c>
      <c r="L28" t="n">
        <v>41</v>
      </c>
      <c r="M28" t="n">
        <v>8.199999999999999</v>
      </c>
      <c r="N28" t="n">
        <v>39</v>
      </c>
      <c r="O28" t="n">
        <v>1.2</v>
      </c>
      <c r="P28">
        <f>N28/O28</f>
        <v/>
      </c>
      <c r="Q28">
        <f>((N28/O28)-M28)/(N28/O28)</f>
        <v/>
      </c>
    </row>
    <row r="29">
      <c r="A29" t="inlineStr">
        <is>
          <t>900236ZZBRRR0000</t>
        </is>
      </c>
      <c r="B29" t="n">
        <v>900236</v>
      </c>
      <c r="C29" t="inlineStr">
        <is>
          <t>BRRR</t>
        </is>
      </c>
      <c r="D29" t="inlineStr">
        <is>
          <t>900236BRRR</t>
        </is>
      </c>
      <c r="E29" t="inlineStr">
        <is>
          <t>Fingerless Gloves</t>
        </is>
      </c>
      <c r="F29" t="inlineStr">
        <is>
          <t>Cashmere</t>
        </is>
      </c>
      <c r="G29" t="inlineStr">
        <is>
          <t>Cashmere Fingerless Gloves</t>
        </is>
      </c>
      <c r="H29" s="34" t="inlineStr">
        <is>
          <t>TBC</t>
        </is>
      </c>
      <c r="I29" t="inlineStr">
        <is>
          <t>Brights</t>
        </is>
      </c>
      <c r="J29" t="inlineStr">
        <is>
          <t>One Size</t>
        </is>
      </c>
      <c r="K29" t="inlineStr">
        <is>
          <t>Re:Born Cashmere Fingerless Gloves, Brights, O/S</t>
        </is>
      </c>
      <c r="L29" t="n">
        <v>33</v>
      </c>
      <c r="M29" t="n">
        <v>8.199999999999999</v>
      </c>
      <c r="N29" t="n">
        <v>39</v>
      </c>
      <c r="O29" t="n">
        <v>1.2</v>
      </c>
      <c r="P29">
        <f>N29/O29</f>
        <v/>
      </c>
      <c r="Q29">
        <f>((N29/O29)-M29)/(N29/O29)</f>
        <v/>
      </c>
    </row>
    <row r="30">
      <c r="A30" t="inlineStr">
        <is>
          <t>900234ZZNBAN0000</t>
        </is>
      </c>
      <c r="B30" t="n">
        <v>900234</v>
      </c>
      <c r="C30" t="inlineStr">
        <is>
          <t>NBAN</t>
        </is>
      </c>
      <c r="D30" t="inlineStr">
        <is>
          <t>900234NBAN</t>
        </is>
      </c>
      <c r="E30" t="inlineStr">
        <is>
          <t>Beanie &amp; Glove Set</t>
        </is>
      </c>
      <c r="F30" t="inlineStr">
        <is>
          <t>Cashmere</t>
        </is>
      </c>
      <c r="G30" t="inlineStr">
        <is>
          <t>Cashmere Beanie &amp; Glove Set</t>
        </is>
      </c>
      <c r="H30" s="34" t="inlineStr">
        <is>
          <t>TBC</t>
        </is>
      </c>
      <c r="I30" t="inlineStr">
        <is>
          <t>Navy And Beige</t>
        </is>
      </c>
      <c r="J30" t="inlineStr">
        <is>
          <t>One Size</t>
        </is>
      </c>
      <c r="K30" t="inlineStr">
        <is>
          <t>Re:Born Beanie &amp; Glove Set, Navy And Beige, O/S</t>
        </is>
      </c>
      <c r="L30" t="n">
        <v>30</v>
      </c>
      <c r="M30" t="n">
        <v>17.2</v>
      </c>
      <c r="N30" s="34" t="inlineStr">
        <is>
          <t>TBC</t>
        </is>
      </c>
      <c r="O30" t="n">
        <v>1.2</v>
      </c>
      <c r="P30" s="34" t="inlineStr">
        <is>
          <t>TBC</t>
        </is>
      </c>
      <c r="Q30" s="34" t="inlineStr">
        <is>
          <t>TBC</t>
        </is>
      </c>
    </row>
    <row r="31">
      <c r="A31" t="inlineStr">
        <is>
          <t>900231ZZLBAL0000</t>
        </is>
      </c>
      <c r="B31" t="n">
        <v>900231</v>
      </c>
      <c r="C31" t="inlineStr">
        <is>
          <t>LBAL</t>
        </is>
      </c>
      <c r="D31" t="inlineStr">
        <is>
          <t>900231LBAL</t>
        </is>
      </c>
      <c r="E31" t="inlineStr">
        <is>
          <t>Reversible Beanie</t>
        </is>
      </c>
      <c r="F31" t="inlineStr">
        <is>
          <t>Cashmere</t>
        </is>
      </c>
      <c r="G31" t="inlineStr">
        <is>
          <t>Cashmere Reversible Beanie</t>
        </is>
      </c>
      <c r="H31" s="34" t="inlineStr">
        <is>
          <t>TBC</t>
        </is>
      </c>
      <c r="I31" t="inlineStr">
        <is>
          <t>Light Blue&amp;Light Beige</t>
        </is>
      </c>
      <c r="J31" t="inlineStr">
        <is>
          <t>One Size</t>
        </is>
      </c>
      <c r="K31" t="inlineStr">
        <is>
          <t>Re:Born Reversible Cashmere Beanie, Light Blue&amp;Light Beige, O/S</t>
        </is>
      </c>
      <c r="L31" t="n">
        <v>13</v>
      </c>
      <c r="M31" t="n">
        <v>9.1</v>
      </c>
      <c r="N31" t="n">
        <v>39</v>
      </c>
      <c r="O31" t="n">
        <v>1.2</v>
      </c>
      <c r="P31">
        <f>N31/O31</f>
        <v/>
      </c>
      <c r="Q31">
        <f>((N31/O31)-M31)/(N31/O31)</f>
        <v/>
      </c>
    </row>
    <row r="32">
      <c r="A32" t="inlineStr">
        <is>
          <t>900231ZZBLLL0000</t>
        </is>
      </c>
      <c r="B32" t="n">
        <v>900231</v>
      </c>
      <c r="C32" t="inlineStr">
        <is>
          <t>BLLL</t>
        </is>
      </c>
      <c r="D32" t="inlineStr">
        <is>
          <t>900231BLLL</t>
        </is>
      </c>
      <c r="E32" t="inlineStr">
        <is>
          <t>Reversible Beanie</t>
        </is>
      </c>
      <c r="F32" t="inlineStr">
        <is>
          <t>Cashmere</t>
        </is>
      </c>
      <c r="G32" t="inlineStr">
        <is>
          <t>Cashmere Reversible Beanie</t>
        </is>
      </c>
      <c r="H32" s="34" t="inlineStr">
        <is>
          <t>TBC</t>
        </is>
      </c>
      <c r="I32" t="inlineStr">
        <is>
          <t>Black And Light Grey</t>
        </is>
      </c>
      <c r="J32" t="inlineStr">
        <is>
          <t>One Size</t>
        </is>
      </c>
      <c r="K32" t="inlineStr">
        <is>
          <t>Re:Born Reversible Cashmere Beanie, Black And Light Grey, O/S</t>
        </is>
      </c>
      <c r="L32" t="n">
        <v>11</v>
      </c>
      <c r="M32" t="n">
        <v>9.1</v>
      </c>
      <c r="N32" t="n">
        <v>39</v>
      </c>
      <c r="O32" t="n">
        <v>1.2</v>
      </c>
      <c r="P32">
        <f>N32/O32</f>
        <v/>
      </c>
      <c r="Q32">
        <f>((N32/O32)-M32)/(N32/O32)</f>
        <v/>
      </c>
    </row>
    <row r="33">
      <c r="A33" t="inlineStr">
        <is>
          <t>900236ZZAAAH0000</t>
        </is>
      </c>
      <c r="B33" t="n">
        <v>900236</v>
      </c>
      <c r="C33" t="inlineStr">
        <is>
          <t>AAAH</t>
        </is>
      </c>
      <c r="D33" t="inlineStr">
        <is>
          <t>900236AAAH</t>
        </is>
      </c>
      <c r="E33" t="inlineStr">
        <is>
          <t>Fingerless Gloves</t>
        </is>
      </c>
      <c r="F33" t="inlineStr">
        <is>
          <t>Cashmere</t>
        </is>
      </c>
      <c r="G33" t="inlineStr">
        <is>
          <t>Cashmere Fingerless Gloves</t>
        </is>
      </c>
      <c r="H33" s="34" t="inlineStr">
        <is>
          <t>TBC</t>
        </is>
      </c>
      <c r="I33" t="inlineStr">
        <is>
          <t>Orange</t>
        </is>
      </c>
      <c r="J33" t="inlineStr">
        <is>
          <t>One Size</t>
        </is>
      </c>
      <c r="K33" t="inlineStr">
        <is>
          <t>Re:Born Cashmere Fingerless Gloves, Orange, O/S</t>
        </is>
      </c>
      <c r="L33" t="n">
        <v>7</v>
      </c>
      <c r="M33" t="n">
        <v>8.199999999999999</v>
      </c>
      <c r="N33" t="n">
        <v>39</v>
      </c>
      <c r="O33" t="n">
        <v>1.2</v>
      </c>
      <c r="P33">
        <f>N33/O33</f>
        <v/>
      </c>
      <c r="Q33">
        <f>((N33/O33)-M33)/(N33/O33)</f>
        <v/>
      </c>
    </row>
    <row r="34">
      <c r="A34" t="inlineStr">
        <is>
          <t>900236ZZROBU0000</t>
        </is>
      </c>
      <c r="B34" t="n">
        <v>900236</v>
      </c>
      <c r="C34" t="inlineStr">
        <is>
          <t>ROBU</t>
        </is>
      </c>
      <c r="D34" s="1" t="inlineStr">
        <is>
          <t>900236ROBU</t>
        </is>
      </c>
      <c r="E34" s="1" t="inlineStr">
        <is>
          <t>Fingerless Gloves</t>
        </is>
      </c>
      <c r="F34" s="1" t="inlineStr">
        <is>
          <t>Cashmere</t>
        </is>
      </c>
      <c r="G34" s="1" t="inlineStr">
        <is>
          <t>Cashmere Fingerless Gloves</t>
        </is>
      </c>
      <c r="H34" s="35" t="inlineStr">
        <is>
          <t>TBC</t>
        </is>
      </c>
      <c r="I34" s="1" t="inlineStr">
        <is>
          <t>Royal Blue</t>
        </is>
      </c>
      <c r="J34" s="1" t="inlineStr">
        <is>
          <t>One Size</t>
        </is>
      </c>
      <c r="K34" t="inlineStr">
        <is>
          <t>Re:Born Cashmere Fingerless Gloves, Royal Blue, O/S</t>
        </is>
      </c>
      <c r="L34" t="n">
        <v>7</v>
      </c>
      <c r="M34" s="1" t="n">
        <v>8.199999999999999</v>
      </c>
      <c r="N34" s="1" t="n">
        <v>39</v>
      </c>
      <c r="O34" s="1" t="n">
        <v>1.2</v>
      </c>
      <c r="P34" s="1">
        <f>N34/O34</f>
        <v/>
      </c>
      <c r="Q34" s="1">
        <f>((N34/O34)-M34)/(N34/O34)</f>
        <v/>
      </c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</row>
    <row r="35">
      <c r="A35" t="inlineStr">
        <is>
          <t>900232ZZLCAA0000</t>
        </is>
      </c>
      <c r="B35" t="n">
        <v>900232</v>
      </c>
      <c r="C35" t="inlineStr">
        <is>
          <t>LCAA</t>
        </is>
      </c>
      <c r="D35" t="inlineStr">
        <is>
          <t>900232LCAA</t>
        </is>
      </c>
      <c r="E35" t="inlineStr">
        <is>
          <t>Reversible Snood</t>
        </is>
      </c>
      <c r="F35" t="inlineStr">
        <is>
          <t>Cashmere</t>
        </is>
      </c>
      <c r="G35" t="inlineStr">
        <is>
          <t>Cashmere Reversible Snood</t>
        </is>
      </c>
      <c r="H35" s="34" t="inlineStr">
        <is>
          <t>TBC</t>
        </is>
      </c>
      <c r="I35" t="inlineStr">
        <is>
          <t>Light Beige&amp;Choco Brown</t>
        </is>
      </c>
      <c r="J35" t="inlineStr">
        <is>
          <t>One Size</t>
        </is>
      </c>
      <c r="K35" t="inlineStr">
        <is>
          <t>Re:Born Reversible Cashmere Snood, Light Beige&amp;Choco Brown, O/S</t>
        </is>
      </c>
      <c r="L35" t="n">
        <v>55</v>
      </c>
      <c r="M35" t="n">
        <v>9.1</v>
      </c>
      <c r="N35" t="n">
        <v>42</v>
      </c>
      <c r="O35" t="n">
        <v>1.2</v>
      </c>
      <c r="P35">
        <f>N35/O35</f>
        <v/>
      </c>
      <c r="Q35">
        <f>((N35/O35)-M35)/(N35/O35)</f>
        <v/>
      </c>
    </row>
    <row r="36">
      <c r="A36" t="inlineStr">
        <is>
          <t>900231ZZBPAA0000</t>
        </is>
      </c>
      <c r="B36" t="n">
        <v>900231</v>
      </c>
      <c r="C36" t="inlineStr">
        <is>
          <t>BPAA</t>
        </is>
      </c>
      <c r="D36" t="inlineStr">
        <is>
          <t>900231BPAA</t>
        </is>
      </c>
      <c r="E36" t="inlineStr">
        <is>
          <t>Reversible Beanie</t>
        </is>
      </c>
      <c r="F36" t="inlineStr">
        <is>
          <t>Cashmere</t>
        </is>
      </c>
      <c r="G36" t="inlineStr">
        <is>
          <t>Cashmere Reversible Beanie</t>
        </is>
      </c>
      <c r="H36" s="34" t="inlineStr">
        <is>
          <t>TBC</t>
        </is>
      </c>
      <c r="I36" t="inlineStr">
        <is>
          <t>Baby Pink And Cream</t>
        </is>
      </c>
      <c r="J36" t="inlineStr">
        <is>
          <t>One Size</t>
        </is>
      </c>
      <c r="K36" t="inlineStr">
        <is>
          <t>Re:Born Reversible Cashmere Beanie, Baby Pink And Cream, O/S</t>
        </is>
      </c>
      <c r="L36" t="n">
        <v>49</v>
      </c>
      <c r="M36" t="n">
        <v>9.1</v>
      </c>
      <c r="N36" t="n">
        <v>39</v>
      </c>
      <c r="O36" t="n">
        <v>1.2</v>
      </c>
      <c r="P36">
        <f>N36/O36</f>
        <v/>
      </c>
      <c r="Q36">
        <f>((N36/O36)-M36)/(N36/O36)</f>
        <v/>
      </c>
    </row>
    <row r="37">
      <c r="A37" t="inlineStr">
        <is>
          <t>900231ZZPYPP0000</t>
        </is>
      </c>
      <c r="B37" t="n">
        <v>900231</v>
      </c>
      <c r="C37" t="inlineStr">
        <is>
          <t>PYPP</t>
        </is>
      </c>
      <c r="D37" t="inlineStr">
        <is>
          <t>900231PYPP</t>
        </is>
      </c>
      <c r="E37" t="inlineStr">
        <is>
          <t>Reversible Beanie</t>
        </is>
      </c>
      <c r="F37" t="inlineStr">
        <is>
          <t>Cashmere</t>
        </is>
      </c>
      <c r="G37" t="inlineStr">
        <is>
          <t>Cashmere Reversible Beanie</t>
        </is>
      </c>
      <c r="H37" s="34" t="inlineStr">
        <is>
          <t>TBC</t>
        </is>
      </c>
      <c r="I37" t="inlineStr">
        <is>
          <t>Purple And Yellow</t>
        </is>
      </c>
      <c r="J37" t="inlineStr">
        <is>
          <t>One Size</t>
        </is>
      </c>
      <c r="K37" t="inlineStr">
        <is>
          <t>Re:Born Reversible Cashmere Beanie, Purple And Yellow, O/S</t>
        </is>
      </c>
      <c r="L37" t="n">
        <v>7</v>
      </c>
      <c r="M37" t="n">
        <v>9.1</v>
      </c>
      <c r="N37" t="n">
        <v>39</v>
      </c>
      <c r="O37" t="n">
        <v>1.2</v>
      </c>
      <c r="P37">
        <f>N37/O37</f>
        <v/>
      </c>
      <c r="Q37">
        <f>((N37/O37)-M37)/(N37/O37)</f>
        <v/>
      </c>
    </row>
    <row r="38">
      <c r="A38" t="inlineStr">
        <is>
          <t>900231ZZREAR0000</t>
        </is>
      </c>
      <c r="B38" t="n">
        <v>900231</v>
      </c>
      <c r="C38" t="inlineStr">
        <is>
          <t>REAR</t>
        </is>
      </c>
      <c r="D38" t="inlineStr">
        <is>
          <t>900231REAR</t>
        </is>
      </c>
      <c r="E38" t="inlineStr">
        <is>
          <t>Reversible Beanie</t>
        </is>
      </c>
      <c r="F38" t="inlineStr">
        <is>
          <t>Cashmere</t>
        </is>
      </c>
      <c r="G38" t="inlineStr">
        <is>
          <t>Cashmere Reversible Beanie</t>
        </is>
      </c>
      <c r="H38" s="34" t="inlineStr">
        <is>
          <t>TBC</t>
        </is>
      </c>
      <c r="I38" t="inlineStr">
        <is>
          <t>Red And Beige</t>
        </is>
      </c>
      <c r="J38" t="inlineStr">
        <is>
          <t>One Size</t>
        </is>
      </c>
      <c r="K38" t="inlineStr">
        <is>
          <t>Re:Born Reversible Cashmere Beanie, Red And Beige, O/S</t>
        </is>
      </c>
      <c r="L38" t="n">
        <v>26</v>
      </c>
      <c r="M38" t="n">
        <v>9.1</v>
      </c>
      <c r="N38" t="n">
        <v>39</v>
      </c>
      <c r="O38" t="n">
        <v>1.2</v>
      </c>
      <c r="P38">
        <f>N38/O38</f>
        <v/>
      </c>
      <c r="Q38">
        <f>((N38/O38)-M38)/(N38/O38)</f>
        <v/>
      </c>
    </row>
    <row r="39">
      <c r="A39" t="inlineStr">
        <is>
          <t>900232ZZBBRA0000</t>
        </is>
      </c>
      <c r="B39" t="n">
        <v>900232</v>
      </c>
      <c r="C39" t="inlineStr">
        <is>
          <t>BBRA</t>
        </is>
      </c>
      <c r="D39" t="inlineStr">
        <is>
          <t>900232BBRA</t>
        </is>
      </c>
      <c r="E39" t="inlineStr">
        <is>
          <t>Reversible Snood</t>
        </is>
      </c>
      <c r="F39" t="inlineStr">
        <is>
          <t>Cashmere</t>
        </is>
      </c>
      <c r="G39" t="inlineStr">
        <is>
          <t>Cashmere Reversible Snood</t>
        </is>
      </c>
      <c r="H39" s="34" t="inlineStr">
        <is>
          <t>TBC</t>
        </is>
      </c>
      <c r="I39" t="inlineStr">
        <is>
          <t>Beige And Brown</t>
        </is>
      </c>
      <c r="J39" t="inlineStr">
        <is>
          <t>One Size</t>
        </is>
      </c>
      <c r="K39" t="inlineStr">
        <is>
          <t>Re:Born Reversible Cashmere Snood, Beige And Brown, O/S</t>
        </is>
      </c>
      <c r="L39" t="n">
        <v>10</v>
      </c>
      <c r="M39" t="n">
        <v>9.1</v>
      </c>
      <c r="N39" t="n">
        <v>42</v>
      </c>
      <c r="O39" t="n">
        <v>1.2</v>
      </c>
      <c r="P39">
        <f>N39/O39</f>
        <v/>
      </c>
      <c r="Q39">
        <f>((N39/O39)-M39)/(N39/O39)</f>
        <v/>
      </c>
    </row>
    <row r="40">
      <c r="A40" t="inlineStr">
        <is>
          <t>900232ZZBGAA0000</t>
        </is>
      </c>
      <c r="B40" t="n">
        <v>900232</v>
      </c>
      <c r="C40" t="inlineStr">
        <is>
          <t>BGAA</t>
        </is>
      </c>
      <c r="D40" t="inlineStr">
        <is>
          <t>900232BGAA</t>
        </is>
      </c>
      <c r="E40" t="inlineStr">
        <is>
          <t>Reversible Snood</t>
        </is>
      </c>
      <c r="F40" t="inlineStr">
        <is>
          <t>Cashmere</t>
        </is>
      </c>
      <c r="G40" t="inlineStr">
        <is>
          <t>Cashmere Reversible Snood</t>
        </is>
      </c>
      <c r="H40" s="34" t="inlineStr">
        <is>
          <t>TBC</t>
        </is>
      </c>
      <c r="I40" t="inlineStr">
        <is>
          <t>Black And Dark Grey</t>
        </is>
      </c>
      <c r="J40" t="inlineStr">
        <is>
          <t>One Size</t>
        </is>
      </c>
      <c r="K40" t="inlineStr">
        <is>
          <t>Re:Born Reversible Cashmere Snood, Black And Dark Grey, O/S</t>
        </is>
      </c>
      <c r="L40" t="n">
        <v>11</v>
      </c>
      <c r="M40" t="n">
        <v>9.1</v>
      </c>
      <c r="N40" t="n">
        <v>42</v>
      </c>
      <c r="O40" t="n">
        <v>1.2</v>
      </c>
      <c r="P40">
        <f>N40/O40</f>
        <v/>
      </c>
      <c r="Q40">
        <f>((N40/O40)-M40)/(N40/O40)</f>
        <v/>
      </c>
    </row>
    <row r="41">
      <c r="A41" t="inlineStr">
        <is>
          <t>900232ZZBLCK0000</t>
        </is>
      </c>
      <c r="B41" t="n">
        <v>900232</v>
      </c>
      <c r="C41" t="inlineStr">
        <is>
          <t>BLCK</t>
        </is>
      </c>
      <c r="D41" t="inlineStr">
        <is>
          <t>900232BLCK</t>
        </is>
      </c>
      <c r="E41" t="inlineStr">
        <is>
          <t>Reversible Snood</t>
        </is>
      </c>
      <c r="F41" t="inlineStr">
        <is>
          <t>Cashmere</t>
        </is>
      </c>
      <c r="G41" t="inlineStr">
        <is>
          <t>Cashmere Reversible Snood</t>
        </is>
      </c>
      <c r="H41" s="34" t="inlineStr">
        <is>
          <t>TBC</t>
        </is>
      </c>
      <c r="I41" t="inlineStr">
        <is>
          <t>Black</t>
        </is>
      </c>
      <c r="J41" t="inlineStr">
        <is>
          <t>One Size</t>
        </is>
      </c>
      <c r="K41" t="inlineStr">
        <is>
          <t>Re:Born Reversible Cashmere Snood, Black, O/S</t>
        </is>
      </c>
      <c r="L41" t="n">
        <v>128</v>
      </c>
      <c r="M41" t="n">
        <v>9.1</v>
      </c>
      <c r="N41" t="n">
        <v>42</v>
      </c>
      <c r="O41" t="n">
        <v>1.2</v>
      </c>
      <c r="P41">
        <f>N41/O41</f>
        <v/>
      </c>
      <c r="Q41">
        <f>((N41/O41)-M41)/(N41/O41)</f>
        <v/>
      </c>
    </row>
    <row r="42">
      <c r="A42" t="inlineStr">
        <is>
          <t>900232ZZLBAA0000</t>
        </is>
      </c>
      <c r="B42" t="n">
        <v>900232</v>
      </c>
      <c r="C42" t="inlineStr">
        <is>
          <t>LBAA</t>
        </is>
      </c>
      <c r="D42" t="inlineStr">
        <is>
          <t>900232LBAA</t>
        </is>
      </c>
      <c r="E42" t="inlineStr">
        <is>
          <t>Reversible Snood</t>
        </is>
      </c>
      <c r="F42" t="inlineStr">
        <is>
          <t>Cashmere</t>
        </is>
      </c>
      <c r="G42" t="inlineStr">
        <is>
          <t>Cashmere Reversible Snood</t>
        </is>
      </c>
      <c r="H42" s="34" t="inlineStr">
        <is>
          <t>TBC</t>
        </is>
      </c>
      <c r="I42" t="inlineStr">
        <is>
          <t>Light Grey And Black</t>
        </is>
      </c>
      <c r="J42" t="inlineStr">
        <is>
          <t>One Size</t>
        </is>
      </c>
      <c r="K42" t="inlineStr">
        <is>
          <t>Re:Born Reversible Cashmere Snood, Light Grey And Black, O/S</t>
        </is>
      </c>
      <c r="L42" t="n">
        <v>138</v>
      </c>
      <c r="M42" t="n">
        <v>9.1</v>
      </c>
      <c r="N42" t="n">
        <v>42</v>
      </c>
      <c r="O42" t="n">
        <v>1.2</v>
      </c>
      <c r="P42">
        <f>N42/O42</f>
        <v/>
      </c>
      <c r="Q42">
        <f>((N42/O42)-M42)/(N42/O42)</f>
        <v/>
      </c>
    </row>
    <row r="43">
      <c r="A43" t="inlineStr">
        <is>
          <t>900232ZZMGAA0000</t>
        </is>
      </c>
      <c r="B43" t="n">
        <v>900232</v>
      </c>
      <c r="C43" t="inlineStr">
        <is>
          <t>MGAA</t>
        </is>
      </c>
      <c r="D43" t="inlineStr">
        <is>
          <t>900232MGAA</t>
        </is>
      </c>
      <c r="E43" t="inlineStr">
        <is>
          <t>Reversible Snood</t>
        </is>
      </c>
      <c r="F43" t="inlineStr">
        <is>
          <t>Cashmere</t>
        </is>
      </c>
      <c r="G43" t="inlineStr">
        <is>
          <t>Cashmere Reversible Snood</t>
        </is>
      </c>
      <c r="H43" s="34" t="inlineStr">
        <is>
          <t>TBC</t>
        </is>
      </c>
      <c r="I43" t="inlineStr">
        <is>
          <t>Maroon And Dark Grey</t>
        </is>
      </c>
      <c r="J43" t="inlineStr">
        <is>
          <t>One Size</t>
        </is>
      </c>
      <c r="K43" t="inlineStr">
        <is>
          <t>Re:Born Reversible Cashmere Snood, Maroon And Dark Grey, O/S</t>
        </is>
      </c>
      <c r="L43" t="n">
        <v>10</v>
      </c>
      <c r="M43" t="n">
        <v>9.1</v>
      </c>
      <c r="N43" t="n">
        <v>42</v>
      </c>
      <c r="O43" t="n">
        <v>1.2</v>
      </c>
      <c r="P43">
        <f>N43/O43</f>
        <v/>
      </c>
      <c r="Q43">
        <f>((N43/O43)-M43)/(N43/O43)</f>
        <v/>
      </c>
    </row>
    <row r="44">
      <c r="A44" t="inlineStr">
        <is>
          <t>900232ZZRCCC0000</t>
        </is>
      </c>
      <c r="B44" t="n">
        <v>900232</v>
      </c>
      <c r="C44" t="inlineStr">
        <is>
          <t>RCCC</t>
        </is>
      </c>
      <c r="D44" t="inlineStr">
        <is>
          <t>900232RCCC</t>
        </is>
      </c>
      <c r="E44" t="inlineStr">
        <is>
          <t>Reversible Snood</t>
        </is>
      </c>
      <c r="F44" t="inlineStr">
        <is>
          <t>Cashmere</t>
        </is>
      </c>
      <c r="G44" t="inlineStr">
        <is>
          <t>Cashmere Reversible Snood</t>
        </is>
      </c>
      <c r="H44" s="34" t="inlineStr">
        <is>
          <t>TBC</t>
        </is>
      </c>
      <c r="I44" t="inlineStr">
        <is>
          <t>Red And Cream</t>
        </is>
      </c>
      <c r="J44" t="inlineStr">
        <is>
          <t>One Size</t>
        </is>
      </c>
      <c r="K44" t="inlineStr">
        <is>
          <t>Re:Born Reversible Cashmere Snood, Red And Cream, O/S</t>
        </is>
      </c>
      <c r="L44" t="n">
        <v>34</v>
      </c>
      <c r="M44" t="n">
        <v>9.1</v>
      </c>
      <c r="N44" t="n">
        <v>42</v>
      </c>
      <c r="O44" t="n">
        <v>1.2</v>
      </c>
      <c r="P44">
        <f>N44/O44</f>
        <v/>
      </c>
      <c r="Q44">
        <f>((N44/O44)-M44)/(N44/O44)</f>
        <v/>
      </c>
    </row>
    <row r="45">
      <c r="A45" t="inlineStr">
        <is>
          <t>900233ZZNRAN0000</t>
        </is>
      </c>
      <c r="B45" t="n">
        <v>900233</v>
      </c>
      <c r="C45" t="inlineStr">
        <is>
          <t>NRAN</t>
        </is>
      </c>
      <c r="D45" t="inlineStr">
        <is>
          <t>900233NRAN</t>
        </is>
      </c>
      <c r="E45" t="inlineStr">
        <is>
          <t>Snood &amp; Glove Set</t>
        </is>
      </c>
      <c r="F45" t="inlineStr">
        <is>
          <t>Cashmere</t>
        </is>
      </c>
      <c r="G45" t="inlineStr">
        <is>
          <t>Cashmere Snood &amp; Glove Set</t>
        </is>
      </c>
      <c r="H45" s="34" t="inlineStr">
        <is>
          <t>TBC</t>
        </is>
      </c>
      <c r="I45" t="inlineStr">
        <is>
          <t>Navy/Red and Grey</t>
        </is>
      </c>
      <c r="J45" t="inlineStr">
        <is>
          <t>One Size</t>
        </is>
      </c>
      <c r="K45" t="inlineStr">
        <is>
          <t>Re:Born Snood &amp; Glove Set, Navy/Red and Grey, O/S</t>
        </is>
      </c>
      <c r="L45" t="n">
        <v>35</v>
      </c>
      <c r="M45" t="n">
        <v>17.2</v>
      </c>
      <c r="N45" s="34" t="inlineStr">
        <is>
          <t>TBC</t>
        </is>
      </c>
      <c r="O45" t="n">
        <v>1.2</v>
      </c>
      <c r="P45" s="34" t="inlineStr">
        <is>
          <t>TBC</t>
        </is>
      </c>
      <c r="Q45" s="34" t="inlineStr">
        <is>
          <t>TBC</t>
        </is>
      </c>
    </row>
    <row r="46">
      <c r="A46" t="inlineStr">
        <is>
          <t>900236ZZGRRR0000</t>
        </is>
      </c>
      <c r="B46" t="n">
        <v>900236</v>
      </c>
      <c r="C46" t="inlineStr">
        <is>
          <t>GRRR</t>
        </is>
      </c>
      <c r="D46" t="inlineStr">
        <is>
          <t>900236GRRR</t>
        </is>
      </c>
      <c r="E46" t="inlineStr">
        <is>
          <t>Fingerless Gloves</t>
        </is>
      </c>
      <c r="F46" t="inlineStr">
        <is>
          <t>Cashmere</t>
        </is>
      </c>
      <c r="G46" t="inlineStr">
        <is>
          <t>Cashmere Fingerless Gloves</t>
        </is>
      </c>
      <c r="H46" s="34" t="inlineStr">
        <is>
          <t>TBC</t>
        </is>
      </c>
      <c r="I46" t="inlineStr">
        <is>
          <t>Grape Purple</t>
        </is>
      </c>
      <c r="J46" t="inlineStr">
        <is>
          <t>One Size</t>
        </is>
      </c>
      <c r="K46" t="inlineStr">
        <is>
          <t>Re:Born Cashmere Fingerless Gloves, Grape Purple, O/S</t>
        </is>
      </c>
      <c r="L46" t="n">
        <v>277</v>
      </c>
      <c r="M46" t="n">
        <v>8.199999999999999</v>
      </c>
      <c r="N46" t="n">
        <v>39</v>
      </c>
      <c r="O46" t="n">
        <v>1.2</v>
      </c>
      <c r="P46">
        <f>N46/O46</f>
        <v/>
      </c>
      <c r="Q46">
        <f>((N46/O46)-M46)/(N46/O46)</f>
        <v/>
      </c>
    </row>
    <row r="47">
      <c r="A47" t="inlineStr">
        <is>
          <t>900236ZZDKPU0000</t>
        </is>
      </c>
      <c r="B47" t="n">
        <v>900236</v>
      </c>
      <c r="C47" t="inlineStr">
        <is>
          <t>DKPU</t>
        </is>
      </c>
      <c r="D47" t="inlineStr">
        <is>
          <t>900236DKPU</t>
        </is>
      </c>
      <c r="E47" t="inlineStr">
        <is>
          <t>Fingerless Gloves</t>
        </is>
      </c>
      <c r="F47" t="inlineStr">
        <is>
          <t>Cashmere</t>
        </is>
      </c>
      <c r="G47" t="inlineStr">
        <is>
          <t>Cashmere Fingerless Gloves</t>
        </is>
      </c>
      <c r="H47" s="34" t="inlineStr">
        <is>
          <t>TBC</t>
        </is>
      </c>
      <c r="I47" t="inlineStr">
        <is>
          <t>Dark Purple</t>
        </is>
      </c>
      <c r="J47" t="inlineStr">
        <is>
          <t>One Size</t>
        </is>
      </c>
      <c r="K47" t="inlineStr">
        <is>
          <t>Re:Born Cashmere Fingerless Gloves, Dark Purple, O/S</t>
        </is>
      </c>
      <c r="L47" t="n">
        <v>230</v>
      </c>
      <c r="M47" t="n">
        <v>8.199999999999999</v>
      </c>
      <c r="N47" t="n">
        <v>39</v>
      </c>
      <c r="O47" t="n">
        <v>1.2</v>
      </c>
      <c r="P47">
        <f>N47/O47</f>
        <v/>
      </c>
      <c r="Q47">
        <f>((N47/O47)-M47)/(N47/O47)</f>
        <v/>
      </c>
    </row>
    <row r="48" customFormat="1" s="1">
      <c r="A48" t="inlineStr">
        <is>
          <t>900236ZZOCAA0000</t>
        </is>
      </c>
      <c r="B48" t="n">
        <v>900236</v>
      </c>
      <c r="C48" t="inlineStr">
        <is>
          <t>OCAA</t>
        </is>
      </c>
      <c r="D48" s="1" t="inlineStr">
        <is>
          <t>900236OCAA</t>
        </is>
      </c>
      <c r="E48" s="1" t="inlineStr">
        <is>
          <t>Fingerless Gloves</t>
        </is>
      </c>
      <c r="F48" s="1" t="inlineStr">
        <is>
          <t>Cashmere</t>
        </is>
      </c>
      <c r="G48" s="1" t="inlineStr">
        <is>
          <t>Cashmere Fingerless Gloves</t>
        </is>
      </c>
      <c r="H48" s="35" t="inlineStr">
        <is>
          <t>TBC</t>
        </is>
      </c>
      <c r="I48" s="1" t="inlineStr">
        <is>
          <t>Ocean Green</t>
        </is>
      </c>
      <c r="J48" s="1" t="inlineStr">
        <is>
          <t>One Size</t>
        </is>
      </c>
      <c r="K48" t="inlineStr">
        <is>
          <t>Re:Born Cashmere Fingerless Gloves, Ocean Green, O/S</t>
        </is>
      </c>
      <c r="L48" t="n">
        <v>229</v>
      </c>
      <c r="M48" s="1" t="n">
        <v>8.199999999999999</v>
      </c>
      <c r="N48" s="1" t="n">
        <v>39</v>
      </c>
      <c r="O48" s="1" t="n">
        <v>1.2</v>
      </c>
      <c r="P48" s="1">
        <f>N48/O48</f>
        <v/>
      </c>
      <c r="Q48" s="1">
        <f>((N48/O48)-M48)/(N48/O48)</f>
        <v/>
      </c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</row>
    <row r="49" customFormat="1" s="1">
      <c r="A49" t="inlineStr">
        <is>
          <t>900236ZZBABB0000</t>
        </is>
      </c>
      <c r="B49" t="n">
        <v>900236</v>
      </c>
      <c r="C49" t="inlineStr">
        <is>
          <t>BABB</t>
        </is>
      </c>
      <c r="D49" t="inlineStr">
        <is>
          <t>900236BABB</t>
        </is>
      </c>
      <c r="E49" t="inlineStr">
        <is>
          <t>Fingerless Gloves</t>
        </is>
      </c>
      <c r="F49" t="inlineStr">
        <is>
          <t>Cashmere</t>
        </is>
      </c>
      <c r="G49" t="inlineStr">
        <is>
          <t>Cashmere Fingerless Gloves</t>
        </is>
      </c>
      <c r="H49" s="34" t="inlineStr">
        <is>
          <t>TBC</t>
        </is>
      </c>
      <c r="I49" t="inlineStr">
        <is>
          <t>Baby Blue</t>
        </is>
      </c>
      <c r="J49" t="inlineStr">
        <is>
          <t>One Size</t>
        </is>
      </c>
      <c r="K49" t="inlineStr">
        <is>
          <t>Re:Born Cashmere Fingerless Gloves, Baby Blue, O/S</t>
        </is>
      </c>
      <c r="L49" t="n">
        <v>161</v>
      </c>
      <c r="M49" t="n">
        <v>8.199999999999999</v>
      </c>
      <c r="N49" t="n">
        <v>39</v>
      </c>
      <c r="O49" t="n">
        <v>1.2</v>
      </c>
      <c r="P49">
        <f>N49/O49</f>
        <v/>
      </c>
      <c r="Q49">
        <f>((N49/O49)-M49)/(N49/O49)</f>
        <v/>
      </c>
    </row>
    <row r="50" customFormat="1" s="1">
      <c r="A50" t="inlineStr">
        <is>
          <t>900236ZZAAAI0000</t>
        </is>
      </c>
      <c r="B50" t="n">
        <v>900236</v>
      </c>
      <c r="C50" t="inlineStr">
        <is>
          <t>AAAI</t>
        </is>
      </c>
      <c r="D50" t="inlineStr">
        <is>
          <t>900236AAAI</t>
        </is>
      </c>
      <c r="E50" t="inlineStr">
        <is>
          <t>Fingerless Gloves</t>
        </is>
      </c>
      <c r="F50" t="inlineStr">
        <is>
          <t>Cashmere</t>
        </is>
      </c>
      <c r="G50" t="inlineStr">
        <is>
          <t>Cashmere Fingerless Gloves</t>
        </is>
      </c>
      <c r="H50" s="34" t="inlineStr">
        <is>
          <t>TBC</t>
        </is>
      </c>
      <c r="I50" t="inlineStr">
        <is>
          <t>Teal</t>
        </is>
      </c>
      <c r="J50" t="inlineStr">
        <is>
          <t>One Size</t>
        </is>
      </c>
      <c r="K50" t="inlineStr">
        <is>
          <t>Re:Born Cashmere Fingerless Gloves, Teal, O/S</t>
        </is>
      </c>
      <c r="L50" t="n">
        <v>138</v>
      </c>
      <c r="M50" t="n">
        <v>8.199999999999999</v>
      </c>
      <c r="N50" t="n">
        <v>39</v>
      </c>
      <c r="O50" t="n">
        <v>1.2</v>
      </c>
      <c r="P50">
        <f>N50/O50</f>
        <v/>
      </c>
      <c r="Q50">
        <f>((N50/O50)-M50)/(N50/O50)</f>
        <v/>
      </c>
    </row>
    <row r="51" customFormat="1" s="1">
      <c r="A51" t="inlineStr">
        <is>
          <t>900236ZZSTSS0000</t>
        </is>
      </c>
      <c r="B51" t="n">
        <v>900236</v>
      </c>
      <c r="C51" t="inlineStr">
        <is>
          <t>STSS</t>
        </is>
      </c>
      <c r="D51" s="1" t="inlineStr">
        <is>
          <t>900236STSS</t>
        </is>
      </c>
      <c r="E51" s="1" t="inlineStr">
        <is>
          <t>Fingerless Gloves</t>
        </is>
      </c>
      <c r="F51" s="1" t="inlineStr">
        <is>
          <t>Cashmere</t>
        </is>
      </c>
      <c r="G51" s="1" t="inlineStr">
        <is>
          <t>Cashmere Fingerless Gloves</t>
        </is>
      </c>
      <c r="H51" s="35" t="inlineStr">
        <is>
          <t>TBC</t>
        </is>
      </c>
      <c r="I51" s="1" t="inlineStr">
        <is>
          <t>Stripes</t>
        </is>
      </c>
      <c r="J51" s="1" t="inlineStr">
        <is>
          <t>One Size</t>
        </is>
      </c>
      <c r="K51" t="inlineStr">
        <is>
          <t>Re:Born Cashmere Fingerless Gloves, Stripes, O/S</t>
        </is>
      </c>
      <c r="L51" t="n">
        <v>137</v>
      </c>
      <c r="M51" s="1" t="n">
        <v>8.199999999999999</v>
      </c>
      <c r="N51" s="1" t="n">
        <v>39</v>
      </c>
      <c r="O51" s="1" t="n">
        <v>1.2</v>
      </c>
      <c r="P51" s="1">
        <f>N51/O51</f>
        <v/>
      </c>
      <c r="Q51" s="1">
        <f>((N51/O51)-M51)/(N51/O51)</f>
        <v/>
      </c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</row>
    <row r="52" customFormat="1" s="1">
      <c r="A52" t="inlineStr">
        <is>
          <t>900231ZZMADD0000</t>
        </is>
      </c>
      <c r="B52" t="n">
        <v>900231</v>
      </c>
      <c r="C52" t="inlineStr">
        <is>
          <t>MADD</t>
        </is>
      </c>
      <c r="D52" t="inlineStr">
        <is>
          <t>900231MADD</t>
        </is>
      </c>
      <c r="E52" t="inlineStr">
        <is>
          <t>Reversible Beanie</t>
        </is>
      </c>
      <c r="F52" t="inlineStr">
        <is>
          <t>Cashmere</t>
        </is>
      </c>
      <c r="G52" t="inlineStr">
        <is>
          <t>Cashmere Reversible Beanie</t>
        </is>
      </c>
      <c r="H52" s="34" t="inlineStr">
        <is>
          <t>TBC</t>
        </is>
      </c>
      <c r="I52" t="inlineStr">
        <is>
          <t>Maroon And Dark Brown</t>
        </is>
      </c>
      <c r="J52" t="inlineStr">
        <is>
          <t>One Size</t>
        </is>
      </c>
      <c r="K52" t="inlineStr">
        <is>
          <t>Re:Born Reversible Cashmere Beanie, Maroon And Dark Brown, O/S</t>
        </is>
      </c>
      <c r="L52" t="n">
        <v>135</v>
      </c>
      <c r="M52" t="n">
        <v>9.1</v>
      </c>
      <c r="N52" t="n">
        <v>39</v>
      </c>
      <c r="O52" t="n">
        <v>1.2</v>
      </c>
      <c r="P52">
        <f>N52/O52</f>
        <v/>
      </c>
      <c r="Q52">
        <f>((N52/O52)-M52)/(N52/O52)</f>
        <v/>
      </c>
    </row>
  </sheetData>
  <autoFilter ref="A1:BE1">
    <sortState ref="A2:BE48">
      <sortCondition descending="1" ref="L1"/>
    </sortState>
  </autoFilter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C8" sqref="C8"/>
    </sheetView>
  </sheetViews>
  <sheetFormatPr baseColWidth="8" defaultColWidth="21.7890625" defaultRowHeight="12.75"/>
  <cols>
    <col width="40.22265625" customWidth="1" style="22" min="1" max="1"/>
    <col width="21.7890625" customWidth="1" style="23" min="2" max="2"/>
    <col width="21.7890625" customWidth="1" style="22" min="3" max="16384"/>
  </cols>
  <sheetData>
    <row r="1">
      <c r="A1" s="20" t="inlineStr">
        <is>
          <t>Description</t>
        </is>
      </c>
      <c r="B1" s="21" t="inlineStr">
        <is>
          <t>Cost Price</t>
        </is>
      </c>
      <c r="C1" s="20" t="inlineStr">
        <is>
          <t>RRP</t>
        </is>
      </c>
      <c r="D1" s="20" t="inlineStr">
        <is>
          <t>Vat</t>
        </is>
      </c>
      <c r="E1" s="20" t="inlineStr">
        <is>
          <t>Country of Origin</t>
        </is>
      </c>
    </row>
    <row r="2">
      <c r="A2" s="22" t="inlineStr">
        <is>
          <t>Re:Born Cashmere Headband</t>
        </is>
      </c>
      <c r="B2" s="23" t="n">
        <v>7.1</v>
      </c>
      <c r="C2" s="22" t="n">
        <v>25</v>
      </c>
      <c r="D2" s="22" t="n">
        <v>1.2</v>
      </c>
      <c r="E2" s="22" t="inlineStr">
        <is>
          <t>Dubai</t>
        </is>
      </c>
    </row>
    <row r="3" ht="15" customHeight="1">
      <c r="A3" s="22" t="inlineStr">
        <is>
          <t>Re:Born Reversible Cashmere Beanie</t>
        </is>
      </c>
      <c r="B3" s="24" t="n">
        <v>9.1</v>
      </c>
      <c r="C3" s="22" t="n">
        <v>39</v>
      </c>
      <c r="D3" s="22" t="n">
        <v>1.2</v>
      </c>
      <c r="E3" s="22" t="inlineStr">
        <is>
          <t>Dubai</t>
        </is>
      </c>
    </row>
    <row r="4">
      <c r="A4" s="22" t="inlineStr">
        <is>
          <t xml:space="preserve"> Re:Born Reversible Cashmere Snood</t>
        </is>
      </c>
      <c r="B4" s="23" t="n">
        <v>9.1</v>
      </c>
      <c r="C4" s="22" t="n">
        <v>42</v>
      </c>
      <c r="D4" s="22" t="n">
        <v>1.2</v>
      </c>
      <c r="E4" s="22" t="inlineStr">
        <is>
          <t>Dubai</t>
        </is>
      </c>
    </row>
    <row r="5">
      <c r="A5" s="22" t="inlineStr">
        <is>
          <t>Re:Born Snood &amp; Glove Set</t>
        </is>
      </c>
      <c r="B5" s="23" t="n">
        <v>17.2</v>
      </c>
      <c r="C5" s="22" t="inlineStr">
        <is>
          <t>?</t>
        </is>
      </c>
      <c r="D5" s="22" t="n">
        <v>1.2</v>
      </c>
      <c r="E5" s="22" t="inlineStr">
        <is>
          <t>Dubai</t>
        </is>
      </c>
    </row>
    <row r="6">
      <c r="A6" s="22" t="inlineStr">
        <is>
          <t>Re:Born Beanie &amp; Glove Set</t>
        </is>
      </c>
      <c r="B6" s="23" t="n">
        <v>17.2</v>
      </c>
      <c r="C6" s="22" t="inlineStr">
        <is>
          <t>?</t>
        </is>
      </c>
      <c r="D6" s="22" t="n">
        <v>1.2</v>
      </c>
      <c r="E6" s="22" t="inlineStr">
        <is>
          <t>Dubai</t>
        </is>
      </c>
    </row>
    <row r="7">
      <c r="A7" s="22" t="inlineStr">
        <is>
          <t xml:space="preserve">Re:Born Cashmere Fingerless Gloves </t>
        </is>
      </c>
      <c r="B7" s="23" t="n">
        <v>8.199999999999999</v>
      </c>
      <c r="C7" s="22" t="n">
        <v>39</v>
      </c>
      <c r="D7" s="22" t="n">
        <v>1.2</v>
      </c>
      <c r="E7" s="22" t="inlineStr">
        <is>
          <t>Dubai</t>
        </is>
      </c>
    </row>
  </sheetData>
  <autoFilter ref="A1:E7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36" t="inlineStr">
        <is>
          <t>Re:Born Stock List – Summary Answers</t>
        </is>
      </c>
    </row>
    <row r="3">
      <c r="A3" s="37" t="inlineStr">
        <is>
          <t>Q1. Total stock at net value</t>
        </is>
      </c>
      <c r="B3" s="38">
        <f>SUMPRODUCT(N('Data Sheet'!P3:P52),'Data Sheet'!L3:L52)</f>
        <v/>
      </c>
    </row>
    <row r="4">
      <c r="A4" t="inlineStr">
        <is>
          <t xml:space="preserve">   (of which, units excluded - price not yet confirmed, see notes)</t>
        </is>
      </c>
      <c r="B4" s="39">
        <f>SUMPRODUCT((('Data Sheet'!P3:P52="TBC"))*'Data Sheet'!L3:L52)</f>
        <v/>
      </c>
    </row>
    <row r="6">
      <c r="A6" s="37" t="inlineStr">
        <is>
          <t>Q2. Fingerless Gloves currently in stock</t>
        </is>
      </c>
      <c r="B6" s="39">
        <f>SUMIF('Data Sheet'!E3:E52,"Fingerless Gloves",'Data Sheet'!L3:L52)</f>
        <v/>
      </c>
    </row>
    <row r="8">
      <c r="A8" s="37" t="inlineStr">
        <is>
          <t>Stock quantity by category (reference)</t>
        </is>
      </c>
    </row>
    <row r="9">
      <c r="A9" t="inlineStr">
        <is>
          <t>Fingerless Gloves</t>
        </is>
      </c>
      <c r="B9" s="39">
        <f>SUMIF('Data Sheet'!E3:E52,"Fingerless Gloves",'Data Sheet'!L3:L52)</f>
        <v/>
      </c>
    </row>
    <row r="10">
      <c r="A10" t="inlineStr">
        <is>
          <t>Reversible Beanie</t>
        </is>
      </c>
      <c r="B10" s="39">
        <f>SUMIF('Data Sheet'!E3:E52,"Reversible Beanie",'Data Sheet'!L3:L52)</f>
        <v/>
      </c>
    </row>
    <row r="11">
      <c r="A11" t="inlineStr">
        <is>
          <t>Reversible Snood</t>
        </is>
      </c>
      <c r="B11" s="39">
        <f>SUMIF('Data Sheet'!E3:E52,"Reversible Snood",'Data Sheet'!L3:L52)</f>
        <v/>
      </c>
    </row>
    <row r="12">
      <c r="A12" t="inlineStr">
        <is>
          <t>Snood &amp; Glove Set</t>
        </is>
      </c>
      <c r="B12" s="39">
        <f>SUMIF('Data Sheet'!E3:E52,"Snood &amp; Glove Set",'Data Sheet'!L3:L52)</f>
        <v/>
      </c>
    </row>
    <row r="13">
      <c r="A13" t="inlineStr">
        <is>
          <t>Beanie &amp; Glove Set</t>
        </is>
      </c>
      <c r="B13" s="39">
        <f>SUMIF('Data Sheet'!E3:E52,"Beanie &amp; Glove Set",'Data Sheet'!L3:L52)</f>
        <v/>
      </c>
    </row>
    <row r="14">
      <c r="A14" t="inlineStr">
        <is>
          <t>2 Pack Gloves</t>
        </is>
      </c>
      <c r="B14" s="39">
        <f>SUMIF('Data Sheet'!E3:E52,"2 Pack Gloves",'Data Sheet'!L3:L52)</f>
        <v/>
      </c>
    </row>
    <row r="16">
      <c r="A16" s="37" t="inlineStr">
        <is>
          <t>Notes:</t>
        </is>
      </c>
    </row>
    <row r="17">
      <c r="A17" t="inlineStr">
        <is>
          <t>Net value = Quantity Available x Net RRP, summed across all rows with a confirmed RRP.</t>
        </is>
      </c>
    </row>
    <row r="18">
      <c r="A18" t="inlineStr">
        <is>
          <t>35 (Snood &amp; Glove Set) + 147 (Beanie &amp; Glove Set) + 139 (2 Pack Gloves) = 321 units are excluded</t>
        </is>
      </c>
    </row>
    <row r="19">
      <c r="A19" t="inlineStr">
        <is>
          <t>from the net-value total because their RRP is not yet confirmed (see 'Cleaning Log' tab).</t>
        </is>
      </c>
    </row>
    <row r="20">
      <c r="A20" t="inlineStr">
        <is>
          <t>All figures recalculate automatically from the 'Data Sheet' tab.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55" customWidth="1" min="3" max="3"/>
    <col width="22" customWidth="1" min="4" max="4"/>
  </cols>
  <sheetData>
    <row r="1">
      <c r="A1" s="36" t="inlineStr">
        <is>
          <t>Data Cleaning Log - Re:Born Stock List</t>
        </is>
      </c>
    </row>
    <row r="3">
      <c r="A3" s="40" t="inlineStr">
        <is>
          <t>Original Row(s)</t>
        </is>
      </c>
      <c r="B3" s="40" t="inlineStr">
        <is>
          <t>Issue Found</t>
        </is>
      </c>
      <c r="C3" s="40" t="inlineStr">
        <is>
          <t>Resolution</t>
        </is>
      </c>
      <c r="D3" s="40" t="inlineStr">
        <is>
          <t>Type</t>
        </is>
      </c>
    </row>
    <row r="4" ht="45" customHeight="1">
      <c r="A4" s="41" t="inlineStr">
        <is>
          <t>Row 41</t>
        </is>
      </c>
      <c r="B4" s="41" t="inlineStr">
        <is>
          <t>Completely blank row in the middle of the sheet.</t>
        </is>
      </c>
      <c r="C4" s="41" t="inlineStr">
        <is>
          <t>Row removed.</t>
        </is>
      </c>
      <c r="D4" s="41" t="inlineStr">
        <is>
          <t>Blank row</t>
        </is>
      </c>
    </row>
    <row r="5" ht="45" customHeight="1">
      <c r="A5" s="41" t="inlineStr">
        <is>
          <t>Rows 4 &amp; 5</t>
        </is>
      </c>
      <c r="B5" s="41" t="inlineStr">
        <is>
          <t>Sku 900236ZZLGRY0000 listed twice with identical qty (3605) and identical description.</t>
        </is>
      </c>
      <c r="C5" s="41" t="inlineStr">
        <is>
          <t>Kept row 4, removed the exact duplicate.</t>
        </is>
      </c>
      <c r="D5" s="41" t="inlineStr">
        <is>
          <t>Exact duplicate</t>
        </is>
      </c>
    </row>
    <row r="6" ht="45" customHeight="1">
      <c r="A6" s="41" t="inlineStr">
        <is>
          <t>Rows 6 &amp; 7</t>
        </is>
      </c>
      <c r="B6" s="41" t="inlineStr">
        <is>
          <t>Sku 900236ZZDKGR0000 listed twice with identical qty (3599) and identical description.</t>
        </is>
      </c>
      <c r="C6" s="41" t="inlineStr">
        <is>
          <t>Kept row 6, removed the exact duplicate.</t>
        </is>
      </c>
      <c r="D6" s="41" t="inlineStr">
        <is>
          <t>Exact duplicate</t>
        </is>
      </c>
    </row>
    <row r="7" ht="45" customHeight="1">
      <c r="A7" s="41" t="inlineStr">
        <is>
          <t>Rows 58 &amp; 59</t>
        </is>
      </c>
      <c r="B7" s="41" t="inlineStr">
        <is>
          <t>Sku 900236ZZAAAI0000 (Teal) listed twice with identical qty (138) and identical description.</t>
        </is>
      </c>
      <c r="C7" s="41" t="inlineStr">
        <is>
          <t>Kept row 58, removed the exact duplicate.</t>
        </is>
      </c>
      <c r="D7" s="41" t="inlineStr">
        <is>
          <t>Exact duplicate</t>
        </is>
      </c>
    </row>
    <row r="8" ht="45" customHeight="1">
      <c r="A8" s="41" t="inlineStr">
        <is>
          <t>Rows 17 &amp; 18</t>
        </is>
      </c>
      <c r="B8" s="41" t="inlineStr">
        <is>
          <t>Sku 900236ZZDMAA0000 listed twice, same qty (598), but row 18's description drops the word 'Fingerless' and uses 'One Size' instead of 'O/S'.</t>
        </is>
      </c>
      <c r="C8" s="41" t="inlineStr">
        <is>
          <t>Kept row 17 (matches the standard description format used everywhere else), removed row 18.</t>
        </is>
      </c>
      <c r="D8" s="41" t="inlineStr">
        <is>
          <t>Duplicate - inconsistent wording</t>
        </is>
      </c>
    </row>
    <row r="9" ht="45" customHeight="1">
      <c r="A9" s="41" t="inlineStr">
        <is>
          <t>Rows 30 &amp; 31</t>
        </is>
      </c>
      <c r="B9" s="41" t="inlineStr">
        <is>
          <t>Sku 900235ZZBCAA0000 listed twice, same qty (41); row 31 spells the brand 'RE:Born' (wrong capitalisation) instead of 'Re:Born'.</t>
        </is>
      </c>
      <c r="C9" s="41" t="inlineStr">
        <is>
          <t>Kept row 30, removed the typo duplicate.</t>
        </is>
      </c>
      <c r="D9" s="41" t="inlineStr">
        <is>
          <t>Duplicate - typo</t>
        </is>
      </c>
    </row>
    <row r="10" ht="45" customHeight="1">
      <c r="A10" s="41" t="inlineStr">
        <is>
          <t>Rows 36 &amp; 47</t>
        </is>
      </c>
      <c r="B10" s="41" t="inlineStr">
        <is>
          <t>Sku 900232ZZBGAA0000 listed twice (not adjacent - easy to miss), same qty (11); row 36 has a double space and is 8 rows away from its duplicate at row 47.</t>
        </is>
      </c>
      <c r="C10" s="41" t="inlineStr">
        <is>
          <t>Kept row 47, removed row 36.</t>
        </is>
      </c>
      <c r="D10" s="41" t="inlineStr">
        <is>
          <t>Duplicate - formatting/typo, non-adjacent</t>
        </is>
      </c>
    </row>
    <row r="11" ht="45" customHeight="1">
      <c r="A11" s="41" t="inlineStr">
        <is>
          <t>Rows 37 &amp; 38</t>
        </is>
      </c>
      <c r="B11" s="41" t="inlineStr">
        <is>
          <t>Sku 900231ZZBLLL0000 listed twice, same qty (11); row 37 drops the word 'Cashmere' and has a double space.</t>
        </is>
      </c>
      <c r="C11" s="41" t="inlineStr">
        <is>
          <t>Kept row 38, removed row 37.</t>
        </is>
      </c>
      <c r="D11" s="41" t="inlineStr">
        <is>
          <t>Duplicate - inconsistent wording</t>
        </is>
      </c>
    </row>
    <row r="12" ht="45" customHeight="1">
      <c r="A12" s="41" t="inlineStr">
        <is>
          <t>Rows 43 &amp; 53</t>
        </is>
      </c>
      <c r="B12" s="41" t="inlineStr">
        <is>
          <t>Sku 900231ZZBPAA0000 listed twice, same qty (49), 10 rows apart; row 53 misspells the brand as 'Re:Bron'.</t>
        </is>
      </c>
      <c r="C12" s="41" t="inlineStr">
        <is>
          <t>Kept row 43, removed row 53.</t>
        </is>
      </c>
      <c r="D12" s="41" t="inlineStr">
        <is>
          <t>Duplicate - typo, non-adjacent</t>
        </is>
      </c>
    </row>
    <row r="13" ht="45" customHeight="1">
      <c r="A13" s="41" t="inlineStr">
        <is>
          <t>All Reversible Beanie rows</t>
        </is>
      </c>
      <c r="B13" s="41" t="inlineStr">
        <is>
          <t>Product name inconsistently written as 'Reverse Beanie' / 'Reverse Cashmere Beanie' in some rows vs 'Reversible Cashmere Beanie' in others. The ReBorn reference tab confirms 'Reversible' is correct.</t>
        </is>
      </c>
      <c r="C13" s="41" t="inlineStr">
        <is>
          <t>Standardised every row's Description to 'Re:Born Reversible Cashmere Beanie, &lt;colour&gt;, O/S'.</t>
        </is>
      </c>
      <c r="D13" s="41" t="inlineStr">
        <is>
          <t>Inconsistent naming</t>
        </is>
      </c>
    </row>
    <row r="14" ht="45" customHeight="1">
      <c r="A14" s="41" t="inlineStr">
        <is>
          <t>Style Code / Colour Code / Option (cols B-D)</t>
        </is>
      </c>
      <c r="B14" s="41" t="inlineStr">
        <is>
          <t>Not filled in for any row except the example (row 2). Also, row 2's own Option (900196AUBE) does not actually match its own Style Code (900000) or Sku - the example itself contains an inconsistency.</t>
        </is>
      </c>
      <c r="C14" s="41" t="inlineStr">
        <is>
          <t>Derived Style Code and Colour Code directly from each Sku (first 6 digits / the 4 letters between 'ZZ' and the trailing '0000'), and built Option as Style Code + Colour Code consistently for every row.</t>
        </is>
      </c>
      <c r="D14" s="41" t="inlineStr">
        <is>
          <t>Missing data + example inconsistency</t>
        </is>
      </c>
    </row>
    <row r="15" ht="45" customHeight="1">
      <c r="A15" s="41" t="inlineStr">
        <is>
          <t>Category / Material / Style (cols E-G)</t>
        </is>
      </c>
      <c r="B15" s="41" t="inlineStr">
        <is>
          <t>Not filled in for any row.</t>
        </is>
      </c>
      <c r="C15" s="41" t="inlineStr">
        <is>
          <t>Derived from the 6-digit style-code prefix of the Sku (e.g. 900236 = Fingerless Gloves), cross-checked against the product names on the ReBorn reference tab.</t>
        </is>
      </c>
      <c r="D15" s="41" t="inlineStr">
        <is>
          <t>Missing data</t>
        </is>
      </c>
    </row>
    <row r="16" ht="45" customHeight="1">
      <c r="A16" s="41" t="inlineStr">
        <is>
          <t>Colour (col I)</t>
        </is>
      </c>
      <c r="B16" s="41" t="inlineStr">
        <is>
          <t>Not filled in for any row.</t>
        </is>
      </c>
      <c r="C16" s="41" t="inlineStr">
        <is>
          <t>Extracted from the middle segment of each Description (text between the two commas).</t>
        </is>
      </c>
      <c r="D16" s="41" t="inlineStr">
        <is>
          <t>Missing data</t>
        </is>
      </c>
    </row>
    <row r="17" ht="45" customHeight="1">
      <c r="A17" s="41" t="inlineStr">
        <is>
          <t>Size (col J)</t>
        </is>
      </c>
      <c r="B17" s="41" t="inlineStr">
        <is>
          <t>Not filled in for any row.</t>
        </is>
      </c>
      <c r="C17" s="41" t="inlineStr">
        <is>
          <t>Set to 'One Size' for every row - every product in this list is O/S (one size).</t>
        </is>
      </c>
      <c r="D17" s="41" t="inlineStr">
        <is>
          <t>Missing data</t>
        </is>
      </c>
    </row>
    <row r="18" ht="45" customHeight="1">
      <c r="A18" s="41" t="inlineStr">
        <is>
          <t>Landed Cost Price / RRP / Vat (cols M-O)</t>
        </is>
      </c>
      <c r="B18" s="41" t="inlineStr">
        <is>
          <t>Not filled in for any row.</t>
        </is>
      </c>
      <c r="C18" s="41" t="inlineStr">
        <is>
          <t>Looked up from the ReBorn reference tab by product category and applied to every row in that category.</t>
        </is>
      </c>
      <c r="D18" s="41" t="inlineStr">
        <is>
          <t>Missing data</t>
        </is>
      </c>
    </row>
    <row r="19" ht="45" customHeight="1">
      <c r="A19" s="41" t="inlineStr">
        <is>
          <t>Net RRP / Margin (cols P-Q)</t>
        </is>
      </c>
      <c r="B19" s="41" t="inlineStr">
        <is>
          <t>Not filled in for any row.</t>
        </is>
      </c>
      <c r="C19" s="41" t="inlineStr">
        <is>
          <t>Copied the same formulas used in the row 2 example (Net RRP = RRP/Vat, Margin = (Net RRP - Cost)/Net RRP) down every row where RRP is known.</t>
        </is>
      </c>
      <c r="D19" s="41" t="inlineStr">
        <is>
          <t>Missing data</t>
        </is>
      </c>
    </row>
    <row r="20" ht="45" customHeight="1">
      <c r="A20" s="41" t="inlineStr">
        <is>
          <t>2 Pack Gloves pricing (style 900235)</t>
        </is>
      </c>
      <c r="B20" s="41" t="inlineStr">
        <is>
          <t>This product line (several rows) has no matching entry anywhere on the ReBorn reference tab, so Cost Price, RRP and Vat are all unknown.</t>
        </is>
      </c>
      <c r="C20" s="41" t="inlineStr">
        <is>
          <t>Left marked 'TBC' (highlighted) in Cost Price, RRP, Vat, Net RRP and Margin. Recommend checking with the buying/finance team for the correct figures.</t>
        </is>
      </c>
      <c r="D20" s="41" t="inlineStr">
        <is>
          <t>Further investigation needed</t>
        </is>
      </c>
    </row>
    <row r="21" ht="45" customHeight="1">
      <c r="A21" s="41" t="inlineStr">
        <is>
          <t>Snood &amp; Glove Set / Beanie &amp; Glove Set RRP</t>
        </is>
      </c>
      <c r="B21" s="41" t="inlineStr">
        <is>
          <t>The ReBorn reference tab lists the RRP for these two lines as '?' - i.e. genuinely not yet decided/confirmed, not a data entry gap.</t>
        </is>
      </c>
      <c r="C21" s="41" t="inlineStr">
        <is>
          <t>Cost Price and Vat filled in from the reference tab; RRP, Net RRP and Margin left as 'TBC' (highlighted) since inventing a number would be misleading. Recommend confirming with pricing/marketing.</t>
        </is>
      </c>
      <c r="D21" s="41" t="inlineStr">
        <is>
          <t>Further investigation needed</t>
        </is>
      </c>
    </row>
    <row r="22" ht="45" customHeight="1">
      <c r="A22" s="41" t="inlineStr">
        <is>
          <t>Range (col H)</t>
        </is>
      </c>
      <c r="B22" s="41" t="inlineStr">
        <is>
          <t>The row 2 example shows a Range of 'Core', but no other row, sheet, or column in the source data indicates what Range/Collection any product belongs to.</t>
        </is>
      </c>
      <c r="C22" s="41" t="inlineStr">
        <is>
          <t>Left as 'TBC' (highlighted) for every row rather than guessing. Recommend checking with merchandising for the correct Range per style.</t>
        </is>
      </c>
      <c r="D22" s="41" t="inlineStr">
        <is>
          <t>Further investigation needed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Kate Baird - Turtle Doves</dc:creator>
  <dcterms:created xsi:type="dcterms:W3CDTF">2026-04-23T07:40:48Z</dcterms:created>
  <dcterms:modified xsi:type="dcterms:W3CDTF">2026-08-12T13:34:49Z</dcterms:modified>
  <cp:lastModifiedBy>Kim-Marie Button - Frugi</cp:lastModifiedBy>
</cp:coreProperties>
</file>